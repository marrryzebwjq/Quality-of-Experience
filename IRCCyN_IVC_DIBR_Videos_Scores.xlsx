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S" sheetId="1" state="visible" r:id="rId3"/>
    <sheet name="DM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<sst xmlns="http://schemas.openxmlformats.org/spreadsheetml/2006/main" count="211" uniqueCount="209">
  <si>
    <t xml:space="preserve">SUBJECTS' RESULTS</t>
  </si>
  <si>
    <t xml:space="preserve">MOS</t>
  </si>
  <si>
    <t xml:space="preserve">std</t>
  </si>
  <si>
    <t xml:space="preserve">CI</t>
  </si>
  <si>
    <t xml:space="preserve">Fehn_c_Book_arrival_bh_8_to_10</t>
  </si>
  <si>
    <t xml:space="preserve">Fehn_c_Book_arrival_bh_10_to_8</t>
  </si>
  <si>
    <t xml:space="preserve">Fehn_c_Book_arrival_sh_8_to_9</t>
  </si>
  <si>
    <t xml:space="preserve">Fehn_c_Book_arrival_sh_10_to_9</t>
  </si>
  <si>
    <t xml:space="preserve">Fehn_i_Book_arrival_bh_8_to_10</t>
  </si>
  <si>
    <t xml:space="preserve">Fehn_i_Book_arrival_bh_10_to_8</t>
  </si>
  <si>
    <t xml:space="preserve">Fehn_i_Book_arrival_sh_8_to_9</t>
  </si>
  <si>
    <t xml:space="preserve">Fehn_i_Book_arrival_sh_10_to_9</t>
  </si>
  <si>
    <t xml:space="preserve">Holes_Book_arrival_bh_8_to_10</t>
  </si>
  <si>
    <t xml:space="preserve">Holes_Book_arrival_bh_10_to_8</t>
  </si>
  <si>
    <t xml:space="preserve">Holes_Book_arrival_sh_8_to_9</t>
  </si>
  <si>
    <t xml:space="preserve">Holes_Book_arrival_sh_10_to_9</t>
  </si>
  <si>
    <t xml:space="preserve">ICIP_TMM_Book_arrival_bh_8_to_10</t>
  </si>
  <si>
    <t xml:space="preserve">ICIP_TMM_Book_arrival_bh_10_to_8</t>
  </si>
  <si>
    <t xml:space="preserve">ICIP_TMM_Book_arrival_sh_8_to_9</t>
  </si>
  <si>
    <t xml:space="preserve">ICIP_TMM_Book_arrival_sh_10_to_9</t>
  </si>
  <si>
    <t xml:space="preserve">ICME_Book_arrival_bh_8_to_10</t>
  </si>
  <si>
    <t xml:space="preserve">ICME_Book_arrival_bh_10_to_8</t>
  </si>
  <si>
    <t xml:space="preserve">ICME_Book_arrival_sh_8_to_9</t>
  </si>
  <si>
    <t xml:space="preserve">ICME_Book_arrival_sh_10_to_9</t>
  </si>
  <si>
    <t xml:space="preserve">MPEG_VSRS_Book_arrival_bh_8_to_10</t>
  </si>
  <si>
    <t xml:space="preserve">MPEG_VSRS_Book_arrival_bh_10_to_8</t>
  </si>
  <si>
    <t xml:space="preserve">MPEG_VSRS_Book_arrival_sh_8_to_9</t>
  </si>
  <si>
    <t xml:space="preserve">MPEG_VSRS_Book_arrival_sh_10_to_9</t>
  </si>
  <si>
    <t xml:space="preserve">Muller_Book_arrival_bh_8_to_10</t>
  </si>
  <si>
    <t xml:space="preserve">Muller_Book_arrival_bh_10_to_8</t>
  </si>
  <si>
    <t xml:space="preserve">Muller_Book_arrival_sh_8_to_9</t>
  </si>
  <si>
    <t xml:space="preserve">Muller_Book_arrival_sh_10_to_9</t>
  </si>
  <si>
    <t xml:space="preserve">book_arrival_cam_08</t>
  </si>
  <si>
    <t xml:space="preserve">book_arrival_cam_09</t>
  </si>
  <si>
    <t xml:space="preserve">book_arrival_cam_10</t>
  </si>
  <si>
    <t xml:space="preserve">book_arrival_cam_08_qp26</t>
  </si>
  <si>
    <t xml:space="preserve">book_arrival_cam_08_qp34</t>
  </si>
  <si>
    <t xml:space="preserve">book_arrival_cam_08_qp44</t>
  </si>
  <si>
    <t xml:space="preserve">Fehn_c_Lovebird1_bh_6_to_8</t>
  </si>
  <si>
    <t xml:space="preserve">Fehn_c_Lovebird1_bh_8_to_6</t>
  </si>
  <si>
    <t xml:space="preserve">Fehn_c_Lovebird1_sh_6_to_7</t>
  </si>
  <si>
    <t xml:space="preserve">Fehn_c_Lovebird1_sh_8_to_7</t>
  </si>
  <si>
    <t xml:space="preserve">Fehn_i_Lovebird1_bh_6_to_8</t>
  </si>
  <si>
    <t xml:space="preserve">Fehn_i_Lovebird1_bh_8_to_6</t>
  </si>
  <si>
    <t xml:space="preserve">Fehn_i_Lovebird1_sh_6_to_7</t>
  </si>
  <si>
    <t xml:space="preserve">Fehn_i_Lovebird1_sh_8_to_7</t>
  </si>
  <si>
    <t xml:space="preserve">Holes_Lovebird1_bh_6_to_8</t>
  </si>
  <si>
    <t xml:space="preserve">Holes_Lovebird1_bh_8_to_6</t>
  </si>
  <si>
    <t xml:space="preserve">Holes_Lovebird1_sh_6_to_7</t>
  </si>
  <si>
    <t xml:space="preserve">Holes_Lovebird1_sh_8_to_7</t>
  </si>
  <si>
    <t xml:space="preserve">ICIP_TMM_Lovebird1_bh_6_to_8</t>
  </si>
  <si>
    <t xml:space="preserve">ICIP_TMM_Lovebird1_bh_8_to_6</t>
  </si>
  <si>
    <t xml:space="preserve">ICIP_TMM_Lovebird1_sh_6_to_7</t>
  </si>
  <si>
    <t xml:space="preserve">ICIP_TMM_Lovebird1_sh_8_to_7</t>
  </si>
  <si>
    <t xml:space="preserve">ICME_Lovebird1_bh_6_to_8</t>
  </si>
  <si>
    <t xml:space="preserve">ICME_Lovebird1_bh_8_to_6</t>
  </si>
  <si>
    <t xml:space="preserve">ICME_Lovebird1_sh_6_to_7</t>
  </si>
  <si>
    <t xml:space="preserve">ICME_Lovebird1_sh_8_to_7</t>
  </si>
  <si>
    <t xml:space="preserve">MPEG_VSRS_Lovebird1_bh_6_to_8</t>
  </si>
  <si>
    <t xml:space="preserve">MPEG_VSRS_Lovebird1_bh_8_to_6</t>
  </si>
  <si>
    <t xml:space="preserve">MPEG_VSRS_Lovebird1_sh_6_to_7</t>
  </si>
  <si>
    <t xml:space="preserve">MPEG_VSRS_Lovebird1_sh_8_to_7</t>
  </si>
  <si>
    <t xml:space="preserve">Muller_Lovebird1_bh_6_to_8</t>
  </si>
  <si>
    <t xml:space="preserve">Muller_Lovebird1_bh_8_to_6</t>
  </si>
  <si>
    <t xml:space="preserve">Muller_Lovebird1_sh_6_to_7</t>
  </si>
  <si>
    <t xml:space="preserve">Muller_Lovebird1_sh_8_to_7</t>
  </si>
  <si>
    <t xml:space="preserve">lovebird_cam_06</t>
  </si>
  <si>
    <t xml:space="preserve">lovebird_cam_07</t>
  </si>
  <si>
    <t xml:space="preserve">lovebird_cam_08</t>
  </si>
  <si>
    <t xml:space="preserve">lovebird_cam_06_qp26</t>
  </si>
  <si>
    <t xml:space="preserve">lovebird_cam_06_qp34</t>
  </si>
  <si>
    <t xml:space="preserve">lovebird_cam_06_qp44</t>
  </si>
  <si>
    <t xml:space="preserve">Fehn_c_Newspaper_bh_4_to_6</t>
  </si>
  <si>
    <t xml:space="preserve">Fehn_c_Newspaper_bh_6_to_4</t>
  </si>
  <si>
    <t xml:space="preserve">Fehn_c_Newspaper_sh_4_to_5</t>
  </si>
  <si>
    <t xml:space="preserve">Fehn_c_Newspaper_sh_6_to_5</t>
  </si>
  <si>
    <t xml:space="preserve">Fehn_i_Newspaper_bh_4_to_6</t>
  </si>
  <si>
    <t xml:space="preserve">Fehn_i_Newspaper_bh_6_to_4</t>
  </si>
  <si>
    <t xml:space="preserve">Fehn_i_Newspaper_sh_4_to_5</t>
  </si>
  <si>
    <t xml:space="preserve">Fehn_i_Newspaper_sh_6_to_5</t>
  </si>
  <si>
    <t xml:space="preserve">Holes_Newspaper_bh_4_to_6</t>
  </si>
  <si>
    <t xml:space="preserve">Holes_Newspaper_bh_6_to_4</t>
  </si>
  <si>
    <t xml:space="preserve">Holes_Newspaper_sh_4_to_5</t>
  </si>
  <si>
    <t xml:space="preserve">Holes_Newspaper_sh_6_to_5</t>
  </si>
  <si>
    <t xml:space="preserve">ICIP_TMM_Newspaper_bh_4_to_6</t>
  </si>
  <si>
    <t xml:space="preserve">ICIP_TMM_Newspaper_bh_6_to_4</t>
  </si>
  <si>
    <t xml:space="preserve">ICIP_TMM_Newspaper_sh_4_to_5</t>
  </si>
  <si>
    <t xml:space="preserve">ICIP_TMM_Newspaper_sh_6_to_5</t>
  </si>
  <si>
    <t xml:space="preserve">ICME_Newspaper_bh_4_to_6</t>
  </si>
  <si>
    <t xml:space="preserve">ICME_Newspaper_bh_6_to_4</t>
  </si>
  <si>
    <t xml:space="preserve">ICME_Newspaper_sh_4_to_5</t>
  </si>
  <si>
    <t xml:space="preserve">ICME_Newspaper_sh_6_to_5</t>
  </si>
  <si>
    <t xml:space="preserve">MPEG_VSRS_Newspaper_bh_4_to_6</t>
  </si>
  <si>
    <t xml:space="preserve">MPEG_VSRS_Newspaper_bh_6_to_4</t>
  </si>
  <si>
    <t xml:space="preserve">MPEG_VSRS_Newspaper_sh_4_to_5</t>
  </si>
  <si>
    <t xml:space="preserve">MPEG_VSRS_Newspaper_sh_6_to_5</t>
  </si>
  <si>
    <t xml:space="preserve">Muller_Newspaper_bh_4_to_6</t>
  </si>
  <si>
    <t xml:space="preserve">Muller_Newspaper_bh_6_to_4</t>
  </si>
  <si>
    <t xml:space="preserve">Muller_Newspaper_sh_4_to_5</t>
  </si>
  <si>
    <t xml:space="preserve">Muller_Newspaper_sh_6_to_5</t>
  </si>
  <si>
    <t xml:space="preserve">newspaper_cam_04</t>
  </si>
  <si>
    <t xml:space="preserve">newspaper_cam_05</t>
  </si>
  <si>
    <t xml:space="preserve">newspaper_cam_06</t>
  </si>
  <si>
    <t xml:space="preserve">newspaper_cam_04_qp26</t>
  </si>
  <si>
    <t xml:space="preserve">newspaper_cam_04_qp34</t>
  </si>
  <si>
    <t xml:space="preserve">newspaper_cam_04_qp44</t>
  </si>
  <si>
    <t xml:space="preserve">DMOS</t>
  </si>
  <si>
    <t xml:space="preserve">Book_arrival_A1_8_to_10.avi</t>
  </si>
  <si>
    <t xml:space="preserve">Book_arrival_A1_10_to_8.avi</t>
  </si>
  <si>
    <t xml:space="preserve">Book_arrival_A1_8_to_9.avi</t>
  </si>
  <si>
    <t xml:space="preserve">Book_arrival_A1_10_to_9.avi</t>
  </si>
  <si>
    <t xml:space="preserve">Book_arrival_A2_8_to_10.avi</t>
  </si>
  <si>
    <t xml:space="preserve">Book_arrival_A2_10_to_8.avi</t>
  </si>
  <si>
    <t xml:space="preserve">Book_arrival_A2_8_to_9.avi</t>
  </si>
  <si>
    <t xml:space="preserve">Book_arrival_A2_10_to_9.avi</t>
  </si>
  <si>
    <t xml:space="preserve">Book_arrival_A7_8_to_10.avi</t>
  </si>
  <si>
    <t xml:space="preserve">Book_arrival_A7_10_to_8.avi</t>
  </si>
  <si>
    <t xml:space="preserve">Book_arrival_A7_8_to_9.avi</t>
  </si>
  <si>
    <t xml:space="preserve">Book_arrival_A7_10_to_9.avi</t>
  </si>
  <si>
    <t xml:space="preserve">Book_arrival_A6_8_to_10.avi</t>
  </si>
  <si>
    <t xml:space="preserve">Book_arrival_A6_10_to_8.avi</t>
  </si>
  <si>
    <t xml:space="preserve">Book_arrival_A6_8_to_9.avi</t>
  </si>
  <si>
    <t xml:space="preserve">Book_arrival_A6_10_to_9.avi</t>
  </si>
  <si>
    <t xml:space="preserve">Book_arrival_A5_8_to_10.avi</t>
  </si>
  <si>
    <t xml:space="preserve">Book_arrival_A5_10_to_8.avi</t>
  </si>
  <si>
    <t xml:space="preserve">Book_arrival_A5_8_to_9.avi</t>
  </si>
  <si>
    <t xml:space="preserve">Book_arrival_A5_10_to_9.avi</t>
  </si>
  <si>
    <t xml:space="preserve">Book_arrival_A3_8_to_10.avi</t>
  </si>
  <si>
    <t xml:space="preserve">Book_arrival_A3_10_to_8.avi</t>
  </si>
  <si>
    <t xml:space="preserve">Book_arrival_A3_8_to_9.avi</t>
  </si>
  <si>
    <t xml:space="preserve">Book_arrival_A3_10_to_9.avi</t>
  </si>
  <si>
    <t xml:space="preserve">Book_arrival_A4_8_to_10.avi</t>
  </si>
  <si>
    <t xml:space="preserve">Book_arrival_A4_10_to_8.avi</t>
  </si>
  <si>
    <t xml:space="preserve">Book_arrival_A4_8_to_9.avi</t>
  </si>
  <si>
    <t xml:space="preserve">Book_arrival_A4_10_to_9.avi</t>
  </si>
  <si>
    <t xml:space="preserve">Book_arrival_cam_08</t>
  </si>
  <si>
    <t xml:space="preserve">Book_arrival_cam_09</t>
  </si>
  <si>
    <t xml:space="preserve">Book_arrival_cam_10</t>
  </si>
  <si>
    <t xml:space="preserve">Book_arrival_cam_08_qp26</t>
  </si>
  <si>
    <t xml:space="preserve">Book_arrival_cam_08_qp34</t>
  </si>
  <si>
    <t xml:space="preserve">Book_arrival_cam_08_qp44</t>
  </si>
  <si>
    <t xml:space="preserve">Lovebird1_A1_6_to_8.avi</t>
  </si>
  <si>
    <t xml:space="preserve">Lovebird1_A1_8_to_6.avi</t>
  </si>
  <si>
    <t xml:space="preserve">Lovebird1_A1_6_to_7.avi</t>
  </si>
  <si>
    <t xml:space="preserve">Lovebird1_A1_8_to_7.avi</t>
  </si>
  <si>
    <t xml:space="preserve">Lovebird1_A2_6_to_8.avi</t>
  </si>
  <si>
    <t xml:space="preserve">Lovebird1_A2_8_to_6.avi</t>
  </si>
  <si>
    <t xml:space="preserve">Lovebird1_A2_6_to_7.avi</t>
  </si>
  <si>
    <t xml:space="preserve">Lovebird1_A2_8_to_7.avi</t>
  </si>
  <si>
    <t xml:space="preserve">Lovebird1_A7_6_to_8.avi</t>
  </si>
  <si>
    <t xml:space="preserve">Lovebird1_A7_8_to_6.avi</t>
  </si>
  <si>
    <t xml:space="preserve">Lovebird1_A7_6_to_7.avi</t>
  </si>
  <si>
    <t xml:space="preserve">Lovebird1_A7_8_to_7.avi</t>
  </si>
  <si>
    <t xml:space="preserve">Lovebird1_A6_6_to_8.avi</t>
  </si>
  <si>
    <t xml:space="preserve">Lovebird1_A6_8_to_6.avi</t>
  </si>
  <si>
    <t xml:space="preserve">Lovebird1_A6_6_to_7.avi</t>
  </si>
  <si>
    <t xml:space="preserve">Lovebird1_A6_8_to_7.avi</t>
  </si>
  <si>
    <t xml:space="preserve">Lovebird1_A5_6_to_8.avi</t>
  </si>
  <si>
    <t xml:space="preserve">Lovebird1_A5_8_to_6.avi</t>
  </si>
  <si>
    <t xml:space="preserve">Lovebird1_A5_6_to_7.avi</t>
  </si>
  <si>
    <t xml:space="preserve">Lovebird1_A5_8_to_7.avi</t>
  </si>
  <si>
    <t xml:space="preserve">Lovebird1_A3_6_to_8.avi</t>
  </si>
  <si>
    <t xml:space="preserve">Lovebird1_A3_8_to_6.avi</t>
  </si>
  <si>
    <t xml:space="preserve">Lovebird1_A3_6_to_7.avi</t>
  </si>
  <si>
    <t xml:space="preserve">Lovebird1_A3_8_to_7.avi</t>
  </si>
  <si>
    <t xml:space="preserve">Lovebird1_A4_6_to_8.avi</t>
  </si>
  <si>
    <t xml:space="preserve">Lovebird1_A4_8_to_6.avi</t>
  </si>
  <si>
    <t xml:space="preserve">Lovebird1_A4_6_to_7.avi</t>
  </si>
  <si>
    <t xml:space="preserve">Lovebird1_A4_8_to_7.avi</t>
  </si>
  <si>
    <t xml:space="preserve">Lovebird_cam_06</t>
  </si>
  <si>
    <t xml:space="preserve">Lovebird_cam_07</t>
  </si>
  <si>
    <t xml:space="preserve">Lovebird_cam_08</t>
  </si>
  <si>
    <t xml:space="preserve">Lovebird_cam_06_qp26</t>
  </si>
  <si>
    <t xml:space="preserve">Lovebird_cam_06_qp34</t>
  </si>
  <si>
    <t xml:space="preserve">Lovebird_cam_06_qp44</t>
  </si>
  <si>
    <t xml:space="preserve">Newspaper_A1_4_to_6.avi</t>
  </si>
  <si>
    <t xml:space="preserve">Newspaper_A1_6_to_4.avi</t>
  </si>
  <si>
    <t xml:space="preserve">Newspaper_A1_4_to_5.avi</t>
  </si>
  <si>
    <t xml:space="preserve">Newspaper_A1_6_to_5.avi</t>
  </si>
  <si>
    <t xml:space="preserve">Newspaper_A2_4_to_6.avi</t>
  </si>
  <si>
    <t xml:space="preserve">Newspaper_A2_6_to_4.avi</t>
  </si>
  <si>
    <t xml:space="preserve">Newspaper_A2_4_to_5.avi</t>
  </si>
  <si>
    <t xml:space="preserve">Newspaper_A2_6_to_5.avi</t>
  </si>
  <si>
    <t xml:space="preserve">Newspaper_A7_4_to_6.avi</t>
  </si>
  <si>
    <t xml:space="preserve">Newspaper_A7_6_to_4.avi</t>
  </si>
  <si>
    <t xml:space="preserve">Newspaper_A7_4_to_5.avi</t>
  </si>
  <si>
    <t xml:space="preserve">Newspaper_A7_6_to_5.avi</t>
  </si>
  <si>
    <t xml:space="preserve">Newspaper_A6_4_to_6.avi</t>
  </si>
  <si>
    <t xml:space="preserve">Newspaper_A6_6_to_4.avi</t>
  </si>
  <si>
    <t xml:space="preserve">Newspaper_A6_4_to_5.avi</t>
  </si>
  <si>
    <t xml:space="preserve">Newspaper_A6_6_to_5.avi</t>
  </si>
  <si>
    <t xml:space="preserve">Newspaper_A5_4_to_6.avi</t>
  </si>
  <si>
    <t xml:space="preserve">Newspaper_A5_6_to_4.avi</t>
  </si>
  <si>
    <t xml:space="preserve">Newspaper_A5_4_to_5.avi</t>
  </si>
  <si>
    <t xml:space="preserve">Newspaper_A5_6_to_5.avi</t>
  </si>
  <si>
    <t xml:space="preserve">Newspaper_A3_4_to_6.avi</t>
  </si>
  <si>
    <t xml:space="preserve">Newspaper_A3_6_to_4.avi</t>
  </si>
  <si>
    <t xml:space="preserve">Newspaper_A3_4_to_5.avi</t>
  </si>
  <si>
    <t xml:space="preserve">Newspaper_A3_6_to_5.avi</t>
  </si>
  <si>
    <t xml:space="preserve">Newspaper_A4_4_to_6.avi</t>
  </si>
  <si>
    <t xml:space="preserve">Newspaper_A4_6_to_4.avi</t>
  </si>
  <si>
    <t xml:space="preserve">Newspaper_A4_4_to_5.avi</t>
  </si>
  <si>
    <t xml:space="preserve">Newspaper_A4_6_to_5.avi</t>
  </si>
  <si>
    <t xml:space="preserve">Newspaper_cam_04</t>
  </si>
  <si>
    <t xml:space="preserve">Newspaper_cam_05</t>
  </si>
  <si>
    <t xml:space="preserve">Newspaper_cam_06</t>
  </si>
  <si>
    <t xml:space="preserve">Newspaper_cam_04_qp26</t>
  </si>
  <si>
    <t xml:space="preserve">Newspaper_cam_04_qp34</t>
  </si>
  <si>
    <t xml:space="preserve">Newspaper_cam_04_qp44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</si>
</sst>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145" ySplit="0" topLeftCell="AI1" activePane="topLeft" state="split"/>
      <selection pane="topLeft" activeCell="A106" activeCellId="0" sqref="A106"/>
      <selection pane="topRight" activeCell="AI1" activeCellId="0" sqref="AI1"/>
    </sheetView>
  </sheetViews>
  <sheetFormatPr defaultColWidth="10.96875" defaultRowHeight="15" zeroHeight="false" outlineLevelRow="0" outlineLevelCol="0"/>
  <cols>
    <col collapsed="false" customWidth="true" hidden="false" outlineLevel="0" max="1" min="1" style="0" width="35.28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  <c r="AG2" s="3" t="n">
        <v>32</v>
      </c>
      <c r="AI2" s="4" t="s">
        <v>1</v>
      </c>
      <c r="AJ2" s="0" t="s">
        <v>2</v>
      </c>
      <c r="AK2" s="0" t="s">
        <v>3</v>
      </c>
    </row>
    <row r="3" customFormat="false" ht="15" hidden="false" customHeight="false" outlineLevel="0" collapsed="false">
      <c r="A3" s="0" t="s">
        <v>4</v>
      </c>
      <c r="B3" s="0" t="n">
        <v>2</v>
      </c>
      <c r="C3" s="0" t="n">
        <v>1</v>
      </c>
      <c r="D3" s="0" t="n">
        <v>2</v>
      </c>
      <c r="E3" s="0" t="n">
        <v>3</v>
      </c>
      <c r="F3" s="0" t="n">
        <v>3</v>
      </c>
      <c r="G3" s="0" t="n">
        <v>2</v>
      </c>
      <c r="H3" s="0" t="n">
        <v>2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1</v>
      </c>
      <c r="R3" s="0" t="n">
        <v>3</v>
      </c>
      <c r="S3" s="0" t="n">
        <v>2</v>
      </c>
      <c r="T3" s="0" t="n">
        <v>2</v>
      </c>
      <c r="U3" s="0" t="n">
        <v>2</v>
      </c>
      <c r="V3" s="0" t="n">
        <v>3</v>
      </c>
      <c r="W3" s="0" t="n">
        <v>1</v>
      </c>
      <c r="X3" s="0" t="n">
        <v>2</v>
      </c>
      <c r="Y3" s="0" t="n">
        <v>3</v>
      </c>
      <c r="Z3" s="0" t="n">
        <v>3</v>
      </c>
      <c r="AA3" s="0" t="n">
        <v>3</v>
      </c>
      <c r="AB3" s="0" t="n">
        <v>4</v>
      </c>
      <c r="AC3" s="0" t="n">
        <v>2</v>
      </c>
      <c r="AD3" s="0" t="n">
        <v>2</v>
      </c>
      <c r="AE3" s="0" t="n">
        <v>3</v>
      </c>
      <c r="AF3" s="0" t="n">
        <v>2</v>
      </c>
      <c r="AG3" s="0" t="n">
        <v>2</v>
      </c>
      <c r="AI3" s="0" t="n">
        <f aca="false">AVERAGE(B3:AG3)</f>
        <v>2.21875</v>
      </c>
      <c r="AJ3" s="0" t="n">
        <f aca="false">STDEVP(B3:AG3)</f>
        <v>0.779998998396793</v>
      </c>
      <c r="AK3" s="0" t="n">
        <f aca="false">1.96*AJ3/SQRT(32)</f>
        <v>0.270255864731693</v>
      </c>
    </row>
    <row r="4" customFormat="false" ht="15" hidden="false" customHeight="false" outlineLevel="0" collapsed="false">
      <c r="A4" s="0" t="s">
        <v>5</v>
      </c>
      <c r="B4" s="0" t="n">
        <v>2</v>
      </c>
      <c r="C4" s="0" t="n">
        <v>2</v>
      </c>
      <c r="D4" s="0" t="n">
        <v>2</v>
      </c>
      <c r="E4" s="0" t="n">
        <v>3</v>
      </c>
      <c r="F4" s="0" t="n">
        <v>3</v>
      </c>
      <c r="G4" s="0" t="n">
        <v>3</v>
      </c>
      <c r="H4" s="0" t="n">
        <v>2</v>
      </c>
      <c r="I4" s="0" t="n">
        <v>3</v>
      </c>
      <c r="J4" s="0" t="n">
        <v>4</v>
      </c>
      <c r="K4" s="0" t="n">
        <v>1</v>
      </c>
      <c r="L4" s="0" t="n">
        <v>1</v>
      </c>
      <c r="M4" s="0" t="n">
        <v>2</v>
      </c>
      <c r="N4" s="0" t="n">
        <v>2</v>
      </c>
      <c r="O4" s="0" t="n">
        <v>3</v>
      </c>
      <c r="P4" s="0" t="n">
        <v>3</v>
      </c>
      <c r="Q4" s="0" t="n">
        <v>1</v>
      </c>
      <c r="R4" s="0" t="n">
        <v>4</v>
      </c>
      <c r="S4" s="0" t="n">
        <v>1</v>
      </c>
      <c r="T4" s="0" t="n">
        <v>3</v>
      </c>
      <c r="U4" s="0" t="n">
        <v>2</v>
      </c>
      <c r="V4" s="0" t="n">
        <v>2</v>
      </c>
      <c r="W4" s="0" t="n">
        <v>2</v>
      </c>
      <c r="X4" s="0" t="n">
        <v>1</v>
      </c>
      <c r="Y4" s="0" t="n">
        <v>1</v>
      </c>
      <c r="Z4" s="0" t="n">
        <v>3</v>
      </c>
      <c r="AA4" s="0" t="n">
        <v>3</v>
      </c>
      <c r="AB4" s="0" t="n">
        <v>2</v>
      </c>
      <c r="AC4" s="0" t="n">
        <v>2</v>
      </c>
      <c r="AD4" s="0" t="n">
        <v>1</v>
      </c>
      <c r="AE4" s="0" t="n">
        <v>2</v>
      </c>
      <c r="AF4" s="0" t="n">
        <v>1</v>
      </c>
      <c r="AG4" s="0" t="n">
        <v>2</v>
      </c>
      <c r="AI4" s="0" t="n">
        <f aca="false">AVERAGE(B4:AG4)</f>
        <v>2.15625</v>
      </c>
      <c r="AJ4" s="0" t="n">
        <f aca="false">STDEVP(B4:AG4)</f>
        <v>0.869963181692191</v>
      </c>
      <c r="AK4" s="0" t="n">
        <f aca="false">1.96*AJ4/SQRT(32)</f>
        <v>0.301426863927015</v>
      </c>
    </row>
    <row r="5" customFormat="false" ht="15" hidden="false" customHeight="false" outlineLevel="0" collapsed="false">
      <c r="A5" s="0" t="s">
        <v>6</v>
      </c>
      <c r="B5" s="0" t="n">
        <v>4</v>
      </c>
      <c r="C5" s="0" t="n">
        <v>2</v>
      </c>
      <c r="D5" s="0" t="n">
        <v>4</v>
      </c>
      <c r="E5" s="0" t="n">
        <v>4</v>
      </c>
      <c r="F5" s="0" t="n">
        <v>3</v>
      </c>
      <c r="G5" s="0" t="n">
        <v>4</v>
      </c>
      <c r="H5" s="0" t="n">
        <v>4</v>
      </c>
      <c r="I5" s="0" t="n">
        <v>5</v>
      </c>
      <c r="J5" s="0" t="n">
        <v>3</v>
      </c>
      <c r="K5" s="0" t="n">
        <v>2</v>
      </c>
      <c r="L5" s="0" t="n">
        <v>3</v>
      </c>
      <c r="M5" s="0" t="n">
        <v>4</v>
      </c>
      <c r="N5" s="0" t="n">
        <v>4</v>
      </c>
      <c r="O5" s="0" t="n">
        <v>4</v>
      </c>
      <c r="P5" s="0" t="n">
        <v>3</v>
      </c>
      <c r="Q5" s="0" t="n">
        <v>2</v>
      </c>
      <c r="R5" s="0" t="n">
        <v>4</v>
      </c>
      <c r="S5" s="0" t="n">
        <v>4</v>
      </c>
      <c r="T5" s="0" t="n">
        <v>4</v>
      </c>
      <c r="U5" s="0" t="n">
        <v>3</v>
      </c>
      <c r="V5" s="0" t="n">
        <v>4</v>
      </c>
      <c r="W5" s="0" t="n">
        <v>3</v>
      </c>
      <c r="X5" s="0" t="n">
        <v>4</v>
      </c>
      <c r="Y5" s="0" t="n">
        <v>1</v>
      </c>
      <c r="Z5" s="0" t="n">
        <v>4</v>
      </c>
      <c r="AA5" s="0" t="n">
        <v>4</v>
      </c>
      <c r="AB5" s="0" t="n">
        <v>4</v>
      </c>
      <c r="AC5" s="0" t="n">
        <v>3</v>
      </c>
      <c r="AD5" s="0" t="n">
        <v>3</v>
      </c>
      <c r="AE5" s="0" t="n">
        <v>4</v>
      </c>
      <c r="AF5" s="0" t="n">
        <v>2</v>
      </c>
      <c r="AG5" s="0" t="n">
        <v>3</v>
      </c>
      <c r="AI5" s="0" t="n">
        <f aca="false">AVERAGE(B5:AG5)</f>
        <v>3.40625</v>
      </c>
      <c r="AJ5" s="0" t="n">
        <f aca="false">STDEVP(B5:AG5)</f>
        <v>0.860936082122244</v>
      </c>
      <c r="AK5" s="0" t="n">
        <f aca="false">1.96*AJ5/SQRT(32)</f>
        <v>0.298299133500041</v>
      </c>
    </row>
    <row r="6" customFormat="false" ht="15" hidden="false" customHeight="false" outlineLevel="0" collapsed="false">
      <c r="A6" s="0" t="s">
        <v>7</v>
      </c>
      <c r="B6" s="0" t="n">
        <v>4</v>
      </c>
      <c r="C6" s="0" t="n">
        <v>4</v>
      </c>
      <c r="D6" s="0" t="n">
        <v>3</v>
      </c>
      <c r="E6" s="0" t="n">
        <v>3</v>
      </c>
      <c r="F6" s="0" t="n">
        <v>3</v>
      </c>
      <c r="G6" s="0" t="n">
        <v>5</v>
      </c>
      <c r="H6" s="0" t="n">
        <v>4</v>
      </c>
      <c r="I6" s="0" t="n">
        <v>5</v>
      </c>
      <c r="J6" s="0" t="n">
        <v>5</v>
      </c>
      <c r="K6" s="0" t="n">
        <v>2</v>
      </c>
      <c r="L6" s="0" t="n">
        <v>2</v>
      </c>
      <c r="M6" s="0" t="n">
        <v>4</v>
      </c>
      <c r="N6" s="0" t="n">
        <v>3</v>
      </c>
      <c r="O6" s="0" t="n">
        <v>3</v>
      </c>
      <c r="P6" s="0" t="n">
        <v>3</v>
      </c>
      <c r="Q6" s="0" t="n">
        <v>4</v>
      </c>
      <c r="R6" s="0" t="n">
        <v>4</v>
      </c>
      <c r="S6" s="0" t="n">
        <v>4</v>
      </c>
      <c r="T6" s="0" t="n">
        <v>4</v>
      </c>
      <c r="U6" s="0" t="n">
        <v>4</v>
      </c>
      <c r="V6" s="0" t="n">
        <v>4</v>
      </c>
      <c r="W6" s="0" t="n">
        <v>4</v>
      </c>
      <c r="X6" s="0" t="n">
        <v>3</v>
      </c>
      <c r="Y6" s="0" t="n">
        <v>4</v>
      </c>
      <c r="Z6" s="0" t="n">
        <v>3</v>
      </c>
      <c r="AA6" s="0" t="n">
        <v>4</v>
      </c>
      <c r="AB6" s="0" t="n">
        <v>3</v>
      </c>
      <c r="AC6" s="0" t="n">
        <v>3</v>
      </c>
      <c r="AD6" s="0" t="n">
        <v>4</v>
      </c>
      <c r="AE6" s="0" t="n">
        <v>3</v>
      </c>
      <c r="AF6" s="0" t="n">
        <v>3</v>
      </c>
      <c r="AG6" s="0" t="n">
        <v>3</v>
      </c>
      <c r="AI6" s="0" t="n">
        <f aca="false">AVERAGE(B6:AG6)</f>
        <v>3.5625</v>
      </c>
      <c r="AJ6" s="0" t="n">
        <f aca="false">STDEVP(B6:AG6)</f>
        <v>0.747391296443837</v>
      </c>
      <c r="AK6" s="0" t="n">
        <f aca="false">1.96*AJ6/SQRT(32)</f>
        <v>0.258957872418469</v>
      </c>
    </row>
    <row r="7" customFormat="false" ht="15" hidden="false" customHeight="false" outlineLevel="0" collapsed="false">
      <c r="A7" s="0" t="s">
        <v>8</v>
      </c>
      <c r="B7" s="0" t="n">
        <v>3</v>
      </c>
      <c r="C7" s="0" t="n">
        <v>3</v>
      </c>
      <c r="D7" s="0" t="n">
        <v>2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3</v>
      </c>
      <c r="J7" s="0" t="n">
        <v>3</v>
      </c>
      <c r="K7" s="0" t="n">
        <v>1</v>
      </c>
      <c r="L7" s="0" t="n">
        <v>1</v>
      </c>
      <c r="M7" s="0" t="n">
        <v>2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3</v>
      </c>
      <c r="S7" s="0" t="n">
        <v>1</v>
      </c>
      <c r="T7" s="0" t="n">
        <v>2</v>
      </c>
      <c r="U7" s="0" t="n">
        <v>2</v>
      </c>
      <c r="V7" s="0" t="n">
        <v>2</v>
      </c>
      <c r="W7" s="0" t="n">
        <v>2</v>
      </c>
      <c r="X7" s="0" t="n">
        <v>1</v>
      </c>
      <c r="Y7" s="0" t="n">
        <v>4</v>
      </c>
      <c r="Z7" s="0" t="n">
        <v>3</v>
      </c>
      <c r="AA7" s="0" t="n">
        <v>3</v>
      </c>
      <c r="AB7" s="0" t="n">
        <v>2</v>
      </c>
      <c r="AC7" s="0" t="n">
        <v>2</v>
      </c>
      <c r="AD7" s="0" t="n">
        <v>2</v>
      </c>
      <c r="AE7" s="0" t="n">
        <v>3</v>
      </c>
      <c r="AF7" s="0" t="n">
        <v>1</v>
      </c>
      <c r="AG7" s="0" t="n">
        <v>2</v>
      </c>
      <c r="AI7" s="0" t="n">
        <f aca="false">AVERAGE(B7:AG7)</f>
        <v>2.03125</v>
      </c>
      <c r="AJ7" s="0" t="n">
        <f aca="false">STDEVP(B7:AG7)</f>
        <v>0.809489615436789</v>
      </c>
      <c r="AK7" s="0" t="n">
        <f aca="false">1.96*AJ7/SQRT(32)</f>
        <v>0.280473842223968</v>
      </c>
    </row>
    <row r="8" customFormat="false" ht="15" hidden="false" customHeight="false" outlineLevel="0" collapsed="false">
      <c r="A8" s="0" t="s">
        <v>9</v>
      </c>
      <c r="B8" s="0" t="n">
        <v>3</v>
      </c>
      <c r="C8" s="0" t="n">
        <v>1</v>
      </c>
      <c r="D8" s="0" t="n">
        <v>3</v>
      </c>
      <c r="E8" s="0" t="n">
        <v>2</v>
      </c>
      <c r="F8" s="0" t="n">
        <v>2</v>
      </c>
      <c r="G8" s="0" t="n">
        <v>2</v>
      </c>
      <c r="H8" s="0" t="n">
        <v>2</v>
      </c>
      <c r="I8" s="0" t="n">
        <v>3</v>
      </c>
      <c r="J8" s="0" t="n">
        <v>3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2</v>
      </c>
      <c r="P8" s="0" t="n">
        <v>2</v>
      </c>
      <c r="Q8" s="0" t="n">
        <v>1</v>
      </c>
      <c r="R8" s="0" t="n">
        <v>3</v>
      </c>
      <c r="S8" s="0" t="n">
        <v>1</v>
      </c>
      <c r="T8" s="0" t="n">
        <v>2</v>
      </c>
      <c r="U8" s="0" t="n">
        <v>3</v>
      </c>
      <c r="V8" s="0" t="n">
        <v>2</v>
      </c>
      <c r="W8" s="0" t="n">
        <v>2</v>
      </c>
      <c r="X8" s="0" t="n">
        <v>3</v>
      </c>
      <c r="Y8" s="0" t="n">
        <v>3</v>
      </c>
      <c r="Z8" s="0" t="n">
        <v>2</v>
      </c>
      <c r="AA8" s="0" t="n">
        <v>2</v>
      </c>
      <c r="AB8" s="0" t="n">
        <v>2</v>
      </c>
      <c r="AC8" s="0" t="n">
        <v>2</v>
      </c>
      <c r="AD8" s="0" t="n">
        <v>1</v>
      </c>
      <c r="AE8" s="0" t="n">
        <v>1</v>
      </c>
      <c r="AF8" s="0" t="n">
        <v>1</v>
      </c>
      <c r="AG8" s="0" t="n">
        <v>2</v>
      </c>
      <c r="AI8" s="0" t="n">
        <f aca="false">AVERAGE(B8:AG8)</f>
        <v>2</v>
      </c>
      <c r="AJ8" s="0" t="n">
        <f aca="false">STDEVP(B8:AG8)</f>
        <v>0.707106781186548</v>
      </c>
      <c r="AK8" s="0" t="n">
        <f aca="false">1.96*AJ8/SQRT(32)</f>
        <v>0.245</v>
      </c>
    </row>
    <row r="9" customFormat="false" ht="15" hidden="false" customHeight="false" outlineLevel="0" collapsed="false">
      <c r="A9" s="0" t="s">
        <v>10</v>
      </c>
      <c r="B9" s="0" t="n">
        <v>4</v>
      </c>
      <c r="C9" s="0" t="n">
        <v>2</v>
      </c>
      <c r="D9" s="0" t="n">
        <v>4</v>
      </c>
      <c r="E9" s="0" t="n">
        <v>3</v>
      </c>
      <c r="F9" s="0" t="n">
        <v>3</v>
      </c>
      <c r="G9" s="0" t="n">
        <v>4</v>
      </c>
      <c r="H9" s="0" t="n">
        <v>4</v>
      </c>
      <c r="I9" s="0" t="n">
        <v>4</v>
      </c>
      <c r="J9" s="0" t="n">
        <v>4</v>
      </c>
      <c r="K9" s="0" t="n">
        <v>2</v>
      </c>
      <c r="L9" s="0" t="n">
        <v>3</v>
      </c>
      <c r="M9" s="0" t="n">
        <v>3</v>
      </c>
      <c r="N9" s="0" t="n">
        <v>4</v>
      </c>
      <c r="O9" s="0" t="n">
        <v>3</v>
      </c>
      <c r="P9" s="0" t="n">
        <v>2</v>
      </c>
      <c r="Q9" s="0" t="n">
        <v>2</v>
      </c>
      <c r="R9" s="0" t="n">
        <v>4</v>
      </c>
      <c r="S9" s="0" t="n">
        <v>3</v>
      </c>
      <c r="T9" s="0" t="n">
        <v>3</v>
      </c>
      <c r="U9" s="0" t="n">
        <v>4</v>
      </c>
      <c r="V9" s="0" t="n">
        <v>3</v>
      </c>
      <c r="W9" s="0" t="n">
        <v>4</v>
      </c>
      <c r="X9" s="0" t="n">
        <v>3</v>
      </c>
      <c r="Y9" s="0" t="n">
        <v>4</v>
      </c>
      <c r="Z9" s="0" t="n">
        <v>4</v>
      </c>
      <c r="AA9" s="0" t="n">
        <v>4</v>
      </c>
      <c r="AB9" s="0" t="n">
        <v>2</v>
      </c>
      <c r="AC9" s="0" t="n">
        <v>3</v>
      </c>
      <c r="AD9" s="0" t="n">
        <v>3</v>
      </c>
      <c r="AE9" s="0" t="n">
        <v>2</v>
      </c>
      <c r="AF9" s="0" t="n">
        <v>2</v>
      </c>
      <c r="AG9" s="0" t="n">
        <v>3</v>
      </c>
      <c r="AI9" s="0" t="n">
        <f aca="false">AVERAGE(B9:AG9)</f>
        <v>3.1875</v>
      </c>
      <c r="AJ9" s="0" t="n">
        <f aca="false">STDEVP(B9:AG9)</f>
        <v>0.768012857965282</v>
      </c>
      <c r="AK9" s="0" t="n">
        <f aca="false">1.96*AJ9/SQRT(32)</f>
        <v>0.266102878953799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n">
        <v>3</v>
      </c>
      <c r="D10" s="0" t="n">
        <v>3</v>
      </c>
      <c r="E10" s="0" t="n">
        <v>3</v>
      </c>
      <c r="F10" s="0" t="n">
        <v>3</v>
      </c>
      <c r="G10" s="0" t="n">
        <v>4</v>
      </c>
      <c r="H10" s="0" t="n">
        <v>3</v>
      </c>
      <c r="I10" s="0" t="n">
        <v>3</v>
      </c>
      <c r="J10" s="0" t="n">
        <v>4</v>
      </c>
      <c r="K10" s="0" t="n">
        <v>2</v>
      </c>
      <c r="L10" s="0" t="n">
        <v>3</v>
      </c>
      <c r="M10" s="0" t="n">
        <v>3</v>
      </c>
      <c r="N10" s="0" t="n">
        <v>4</v>
      </c>
      <c r="O10" s="0" t="n">
        <v>2</v>
      </c>
      <c r="P10" s="0" t="n">
        <v>2</v>
      </c>
      <c r="Q10" s="0" t="n">
        <v>1</v>
      </c>
      <c r="R10" s="0" t="n">
        <v>3</v>
      </c>
      <c r="S10" s="0" t="n">
        <v>2</v>
      </c>
      <c r="T10" s="0" t="n">
        <v>3</v>
      </c>
      <c r="U10" s="0" t="n">
        <v>4</v>
      </c>
      <c r="V10" s="0" t="n">
        <v>3</v>
      </c>
      <c r="W10" s="0" t="n">
        <v>1</v>
      </c>
      <c r="X10" s="0" t="n">
        <v>2</v>
      </c>
      <c r="Y10" s="0" t="n">
        <v>3</v>
      </c>
      <c r="Z10" s="0" t="n">
        <v>2</v>
      </c>
      <c r="AA10" s="0" t="n">
        <v>3</v>
      </c>
      <c r="AB10" s="0" t="n">
        <v>4</v>
      </c>
      <c r="AC10" s="0" t="n">
        <v>4</v>
      </c>
      <c r="AD10" s="0" t="n">
        <v>3</v>
      </c>
      <c r="AE10" s="0" t="n">
        <v>3</v>
      </c>
      <c r="AF10" s="0" t="n">
        <v>2</v>
      </c>
      <c r="AG10" s="0" t="n">
        <v>2</v>
      </c>
      <c r="AI10" s="0" t="n">
        <f aca="false">AVERAGE(B10:AG10)</f>
        <v>2.84375</v>
      </c>
      <c r="AJ10" s="0" t="n">
        <f aca="false">STDEVP(B10:AG10)</f>
        <v>0.833268226623336</v>
      </c>
      <c r="AK10" s="0" t="n">
        <f aca="false">1.96*AJ10/SQRT(32)</f>
        <v>0.288712710660399</v>
      </c>
    </row>
    <row r="11" customFormat="false" ht="15" hidden="false" customHeight="false" outlineLevel="0" collapsed="false">
      <c r="A11" s="0" t="s">
        <v>12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2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I11" s="0" t="n">
        <f aca="false">AVERAGE(B11:AG11)</f>
        <v>1.125</v>
      </c>
      <c r="AJ11" s="0" t="n">
        <f aca="false">STDEVP(B11:AG11)</f>
        <v>0.330718913883074</v>
      </c>
      <c r="AK11" s="0" t="n">
        <f aca="false">1.96*AJ11/SQRT(32)</f>
        <v>0.114588257469952</v>
      </c>
    </row>
    <row r="12" customFormat="false" ht="15" hidden="false" customHeight="false" outlineLevel="0" collapsed="false">
      <c r="A12" s="0" t="s">
        <v>13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</v>
      </c>
      <c r="V12" s="0" t="n">
        <v>2</v>
      </c>
      <c r="W12" s="0" t="n">
        <v>1</v>
      </c>
      <c r="X12" s="0" t="n">
        <v>1</v>
      </c>
      <c r="Y12" s="0" t="n">
        <v>2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I12" s="0" t="n">
        <f aca="false">AVERAGE(B12:AG12)</f>
        <v>1.125</v>
      </c>
      <c r="AJ12" s="0" t="n">
        <f aca="false">STDEVP(B12:AG12)</f>
        <v>0.330718913883074</v>
      </c>
      <c r="AK12" s="0" t="n">
        <f aca="false">1.96*AJ12/SQRT(32)</f>
        <v>0.114588257469952</v>
      </c>
    </row>
    <row r="13" customFormat="false" ht="15" hidden="false" customHeight="false" outlineLevel="0" collapsed="false">
      <c r="A13" s="0" t="s">
        <v>14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2</v>
      </c>
      <c r="H13" s="0" t="n">
        <v>1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1</v>
      </c>
      <c r="P13" s="0" t="n">
        <v>1</v>
      </c>
      <c r="Q13" s="0" t="n">
        <v>1</v>
      </c>
      <c r="R13" s="0" t="n">
        <v>2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2</v>
      </c>
      <c r="Z13" s="0" t="n">
        <v>1</v>
      </c>
      <c r="AA13" s="0" t="n">
        <v>2</v>
      </c>
      <c r="AB13" s="0" t="n">
        <v>2</v>
      </c>
      <c r="AC13" s="0" t="n">
        <v>2</v>
      </c>
      <c r="AD13" s="0" t="n">
        <v>1</v>
      </c>
      <c r="AE13" s="0" t="n">
        <v>1</v>
      </c>
      <c r="AF13" s="0" t="n">
        <v>2</v>
      </c>
      <c r="AG13" s="0" t="n">
        <v>1</v>
      </c>
      <c r="AI13" s="0" t="n">
        <f aca="false">AVERAGE(B13:AG13)</f>
        <v>1.3125</v>
      </c>
      <c r="AJ13" s="0" t="n">
        <f aca="false">STDEVP(B13:AG13)</f>
        <v>0.463512405443479</v>
      </c>
      <c r="AK13" s="0" t="n">
        <f aca="false">1.96*AJ13/SQRT(32)</f>
        <v>0.160598854876054</v>
      </c>
    </row>
    <row r="14" customFormat="false" ht="15" hidden="false" customHeight="false" outlineLevel="0" collapsed="false">
      <c r="A14" s="0" t="s">
        <v>15</v>
      </c>
      <c r="B14" s="0" t="n">
        <v>1</v>
      </c>
      <c r="C14" s="0" t="n">
        <v>1</v>
      </c>
      <c r="D14" s="0" t="n">
        <v>2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2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2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2</v>
      </c>
      <c r="AE14" s="0" t="n">
        <v>1</v>
      </c>
      <c r="AF14" s="0" t="n">
        <v>1</v>
      </c>
      <c r="AG14" s="0" t="n">
        <v>1</v>
      </c>
      <c r="AI14" s="0" t="n">
        <f aca="false">AVERAGE(B14:AG14)</f>
        <v>1.28125</v>
      </c>
      <c r="AJ14" s="0" t="n">
        <f aca="false">STDEVP(B14:AG14)</f>
        <v>0.514439926036073</v>
      </c>
      <c r="AK14" s="0" t="n">
        <f aca="false">1.96*AJ14/SQRT(32)</f>
        <v>0.178244340504474</v>
      </c>
    </row>
    <row r="15" customFormat="false" ht="15" hidden="false" customHeight="false" outlineLevel="0" collapsed="false">
      <c r="A15" s="0" t="s">
        <v>16</v>
      </c>
      <c r="B15" s="0" t="n">
        <v>3</v>
      </c>
      <c r="C15" s="0" t="n">
        <v>3</v>
      </c>
      <c r="D15" s="0" t="n">
        <v>2</v>
      </c>
      <c r="E15" s="0" t="n">
        <v>2</v>
      </c>
      <c r="F15" s="0" t="n">
        <v>2</v>
      </c>
      <c r="G15" s="0" t="n">
        <v>2</v>
      </c>
      <c r="H15" s="0" t="n">
        <v>2</v>
      </c>
      <c r="I15" s="0" t="n">
        <v>3</v>
      </c>
      <c r="J15" s="0" t="n">
        <v>3</v>
      </c>
      <c r="K15" s="0" t="n">
        <v>1</v>
      </c>
      <c r="L15" s="0" t="n">
        <v>2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1</v>
      </c>
      <c r="R15" s="0" t="n">
        <v>3</v>
      </c>
      <c r="S15" s="0" t="n">
        <v>1</v>
      </c>
      <c r="T15" s="0" t="n">
        <v>2</v>
      </c>
      <c r="U15" s="0" t="n">
        <v>3</v>
      </c>
      <c r="V15" s="0" t="n">
        <v>2</v>
      </c>
      <c r="W15" s="0" t="n">
        <v>1</v>
      </c>
      <c r="X15" s="0" t="n">
        <v>2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2</v>
      </c>
      <c r="AD15" s="0" t="n">
        <v>2</v>
      </c>
      <c r="AE15" s="0" t="n">
        <v>2</v>
      </c>
      <c r="AF15" s="0" t="n">
        <v>1</v>
      </c>
      <c r="AG15" s="0" t="n">
        <v>2</v>
      </c>
      <c r="AI15" s="0" t="n">
        <f aca="false">AVERAGE(B15:AG15)</f>
        <v>2</v>
      </c>
      <c r="AJ15" s="0" t="n">
        <f aca="false">STDEVP(B15:AG15)</f>
        <v>0.612372435695795</v>
      </c>
      <c r="AK15" s="0" t="n">
        <f aca="false">1.96*AJ15/SQRT(32)</f>
        <v>0.212176223927187</v>
      </c>
    </row>
    <row r="16" customFormat="false" ht="15" hidden="false" customHeight="false" outlineLevel="0" collapsed="false">
      <c r="A16" s="0" t="s">
        <v>17</v>
      </c>
      <c r="B16" s="0" t="n">
        <v>2</v>
      </c>
      <c r="C16" s="0" t="n">
        <v>2</v>
      </c>
      <c r="D16" s="0" t="n">
        <v>2</v>
      </c>
      <c r="E16" s="0" t="n">
        <v>2</v>
      </c>
      <c r="F16" s="0" t="n">
        <v>1</v>
      </c>
      <c r="G16" s="0" t="n">
        <v>2</v>
      </c>
      <c r="H16" s="0" t="n">
        <v>2</v>
      </c>
      <c r="I16" s="0" t="n">
        <v>3</v>
      </c>
      <c r="J16" s="0" t="n">
        <v>3</v>
      </c>
      <c r="K16" s="0" t="n">
        <v>1</v>
      </c>
      <c r="L16" s="0" t="n">
        <v>2</v>
      </c>
      <c r="M16" s="0" t="n">
        <v>2</v>
      </c>
      <c r="N16" s="0" t="n">
        <v>2</v>
      </c>
      <c r="O16" s="0" t="n">
        <v>2</v>
      </c>
      <c r="P16" s="0" t="n">
        <v>2</v>
      </c>
      <c r="Q16" s="0" t="n">
        <v>1</v>
      </c>
      <c r="R16" s="0" t="n">
        <v>3</v>
      </c>
      <c r="S16" s="0" t="n">
        <v>1</v>
      </c>
      <c r="T16" s="0" t="n">
        <v>2</v>
      </c>
      <c r="U16" s="0" t="n">
        <v>3</v>
      </c>
      <c r="V16" s="0" t="n">
        <v>2</v>
      </c>
      <c r="W16" s="0" t="n">
        <v>2</v>
      </c>
      <c r="X16" s="0" t="n">
        <v>1</v>
      </c>
      <c r="Y16" s="0" t="n">
        <v>1</v>
      </c>
      <c r="Z16" s="0" t="n">
        <v>2</v>
      </c>
      <c r="AA16" s="0" t="n">
        <v>2</v>
      </c>
      <c r="AB16" s="0" t="n">
        <v>2</v>
      </c>
      <c r="AC16" s="0" t="n">
        <v>2</v>
      </c>
      <c r="AD16" s="0" t="n">
        <v>2</v>
      </c>
      <c r="AE16" s="0" t="n">
        <v>1</v>
      </c>
      <c r="AF16" s="0" t="n">
        <v>1</v>
      </c>
      <c r="AG16" s="0" t="n">
        <v>2</v>
      </c>
      <c r="AI16" s="0" t="n">
        <f aca="false">AVERAGE(B16:AG16)</f>
        <v>1.875</v>
      </c>
      <c r="AJ16" s="0" t="n">
        <f aca="false">STDEVP(B16:AG16)</f>
        <v>0.59947894041409</v>
      </c>
      <c r="AK16" s="0" t="n">
        <f aca="false">1.96*AJ16/SQRT(32)</f>
        <v>0.207708855733211</v>
      </c>
    </row>
    <row r="17" customFormat="false" ht="15" hidden="false" customHeight="false" outlineLevel="0" collapsed="false">
      <c r="A17" s="0" t="s">
        <v>18</v>
      </c>
      <c r="B17" s="0" t="n">
        <v>3</v>
      </c>
      <c r="C17" s="0" t="n">
        <v>4</v>
      </c>
      <c r="D17" s="0" t="n">
        <v>3</v>
      </c>
      <c r="E17" s="0" t="n">
        <v>2</v>
      </c>
      <c r="F17" s="0" t="n">
        <v>3</v>
      </c>
      <c r="G17" s="0" t="n">
        <v>3</v>
      </c>
      <c r="H17" s="0" t="n">
        <v>3</v>
      </c>
      <c r="I17" s="0" t="n">
        <v>3</v>
      </c>
      <c r="J17" s="0" t="n">
        <v>4</v>
      </c>
      <c r="K17" s="0" t="n">
        <v>3</v>
      </c>
      <c r="L17" s="0" t="n">
        <v>3</v>
      </c>
      <c r="M17" s="0" t="n">
        <v>4</v>
      </c>
      <c r="N17" s="0" t="n">
        <v>4</v>
      </c>
      <c r="O17" s="0" t="n">
        <v>4</v>
      </c>
      <c r="P17" s="0" t="n">
        <v>3</v>
      </c>
      <c r="Q17" s="0" t="n">
        <v>3</v>
      </c>
      <c r="R17" s="0" t="n">
        <v>4</v>
      </c>
      <c r="S17" s="0" t="n">
        <v>3</v>
      </c>
      <c r="T17" s="0" t="n">
        <v>3</v>
      </c>
      <c r="U17" s="0" t="n">
        <v>3</v>
      </c>
      <c r="V17" s="0" t="n">
        <v>4</v>
      </c>
      <c r="W17" s="0" t="n">
        <v>3</v>
      </c>
      <c r="X17" s="0" t="n">
        <v>3</v>
      </c>
      <c r="Y17" s="0" t="n">
        <v>3</v>
      </c>
      <c r="Z17" s="0" t="n">
        <v>3</v>
      </c>
      <c r="AA17" s="0" t="n">
        <v>3</v>
      </c>
      <c r="AB17" s="0" t="n">
        <v>3</v>
      </c>
      <c r="AC17" s="0" t="n">
        <v>3</v>
      </c>
      <c r="AD17" s="0" t="n">
        <v>3</v>
      </c>
      <c r="AE17" s="0" t="n">
        <v>3</v>
      </c>
      <c r="AF17" s="0" t="n">
        <v>2</v>
      </c>
      <c r="AG17" s="0" t="n">
        <v>4</v>
      </c>
      <c r="AI17" s="0" t="n">
        <f aca="false">AVERAGE(B17:AG17)</f>
        <v>3.1875</v>
      </c>
      <c r="AJ17" s="0" t="n">
        <f aca="false">STDEVP(B17:AG17)</f>
        <v>0.526634360823522</v>
      </c>
      <c r="AK17" s="0" t="n">
        <f aca="false">1.96*AJ17/SQRT(32)</f>
        <v>0.182469496594636</v>
      </c>
    </row>
    <row r="18" customFormat="false" ht="15" hidden="false" customHeight="false" outlineLevel="0" collapsed="false">
      <c r="A18" s="0" t="s">
        <v>19</v>
      </c>
      <c r="B18" s="0" t="n">
        <v>2</v>
      </c>
      <c r="C18" s="0" t="n">
        <v>1</v>
      </c>
      <c r="D18" s="0" t="n">
        <v>2</v>
      </c>
      <c r="E18" s="0" t="n">
        <v>3</v>
      </c>
      <c r="F18" s="0" t="n">
        <v>2</v>
      </c>
      <c r="G18" s="0" t="n">
        <v>2</v>
      </c>
      <c r="H18" s="0" t="n">
        <v>2</v>
      </c>
      <c r="I18" s="0" t="n">
        <v>3</v>
      </c>
      <c r="J18" s="0" t="n">
        <v>3</v>
      </c>
      <c r="K18" s="0" t="n">
        <v>2</v>
      </c>
      <c r="L18" s="0" t="n">
        <v>3</v>
      </c>
      <c r="M18" s="0" t="n">
        <v>2</v>
      </c>
      <c r="N18" s="0" t="n">
        <v>2</v>
      </c>
      <c r="O18" s="0" t="n">
        <v>3</v>
      </c>
      <c r="P18" s="0" t="n">
        <v>3</v>
      </c>
      <c r="Q18" s="0" t="n">
        <v>1</v>
      </c>
      <c r="R18" s="0" t="n">
        <v>3</v>
      </c>
      <c r="S18" s="0" t="n">
        <v>3</v>
      </c>
      <c r="T18" s="0" t="n">
        <v>3</v>
      </c>
      <c r="U18" s="0" t="n">
        <v>2</v>
      </c>
      <c r="V18" s="0" t="n">
        <v>3</v>
      </c>
      <c r="W18" s="0" t="n">
        <v>3</v>
      </c>
      <c r="X18" s="0" t="n">
        <v>2</v>
      </c>
      <c r="Y18" s="0" t="n">
        <v>1</v>
      </c>
      <c r="Z18" s="0" t="n">
        <v>2</v>
      </c>
      <c r="AA18" s="0" t="n">
        <v>3</v>
      </c>
      <c r="AB18" s="0" t="n">
        <v>2</v>
      </c>
      <c r="AC18" s="0" t="n">
        <v>3</v>
      </c>
      <c r="AD18" s="0" t="n">
        <v>2</v>
      </c>
      <c r="AE18" s="0" t="n">
        <v>3</v>
      </c>
      <c r="AF18" s="0" t="n">
        <v>2</v>
      </c>
      <c r="AG18" s="0" t="n">
        <v>3</v>
      </c>
      <c r="AI18" s="0" t="n">
        <f aca="false">AVERAGE(B18:AG18)</f>
        <v>2.375</v>
      </c>
      <c r="AJ18" s="0" t="n">
        <f aca="false">STDEVP(B18:AG18)</f>
        <v>0.649519052838329</v>
      </c>
      <c r="AK18" s="0" t="n">
        <f aca="false">1.96*AJ18/SQRT(32)</f>
        <v>0.225046870118204</v>
      </c>
    </row>
    <row r="19" customFormat="false" ht="15" hidden="false" customHeight="false" outlineLevel="0" collapsed="false">
      <c r="A19" s="0" t="s">
        <v>20</v>
      </c>
      <c r="B19" s="0" t="n">
        <v>2</v>
      </c>
      <c r="C19" s="0" t="n">
        <v>2</v>
      </c>
      <c r="D19" s="0" t="n">
        <v>2</v>
      </c>
      <c r="E19" s="0" t="n">
        <v>1</v>
      </c>
      <c r="F19" s="0" t="n">
        <v>3</v>
      </c>
      <c r="G19" s="0" t="n">
        <v>3</v>
      </c>
      <c r="H19" s="0" t="n">
        <v>2</v>
      </c>
      <c r="I19" s="0" t="n">
        <v>2</v>
      </c>
      <c r="J19" s="0" t="n">
        <v>2</v>
      </c>
      <c r="K19" s="0" t="n">
        <v>1</v>
      </c>
      <c r="L19" s="0" t="n">
        <v>3</v>
      </c>
      <c r="M19" s="0" t="n">
        <v>3</v>
      </c>
      <c r="N19" s="0" t="n">
        <v>2</v>
      </c>
      <c r="O19" s="0" t="n">
        <v>2</v>
      </c>
      <c r="P19" s="0" t="n">
        <v>2</v>
      </c>
      <c r="Q19" s="0" t="n">
        <v>1</v>
      </c>
      <c r="R19" s="0" t="n">
        <v>3</v>
      </c>
      <c r="S19" s="0" t="n">
        <v>1</v>
      </c>
      <c r="T19" s="0" t="n">
        <v>2</v>
      </c>
      <c r="U19" s="0" t="n">
        <v>2</v>
      </c>
      <c r="V19" s="0" t="n">
        <v>2</v>
      </c>
      <c r="W19" s="0" t="n">
        <v>1</v>
      </c>
      <c r="X19" s="0" t="n">
        <v>2</v>
      </c>
      <c r="Y19" s="0" t="n">
        <v>1</v>
      </c>
      <c r="Z19" s="0" t="n">
        <v>2</v>
      </c>
      <c r="AA19" s="0" t="n">
        <v>2</v>
      </c>
      <c r="AB19" s="0" t="n">
        <v>1</v>
      </c>
      <c r="AC19" s="0" t="n">
        <v>2</v>
      </c>
      <c r="AD19" s="0" t="n">
        <v>3</v>
      </c>
      <c r="AE19" s="0" t="n">
        <v>2</v>
      </c>
      <c r="AF19" s="0" t="n">
        <v>1</v>
      </c>
      <c r="AG19" s="0" t="n">
        <v>2</v>
      </c>
      <c r="AI19" s="0" t="n">
        <f aca="false">AVERAGE(B19:AG19)</f>
        <v>1.9375</v>
      </c>
      <c r="AJ19" s="0" t="n">
        <f aca="false">STDEVP(B19:AG19)</f>
        <v>0.658478359553296</v>
      </c>
      <c r="AK19" s="0" t="n">
        <f aca="false">1.96*AJ19/SQRT(32)</f>
        <v>0.228151111519317</v>
      </c>
    </row>
    <row r="20" customFormat="false" ht="15" hidden="false" customHeight="false" outlineLevel="0" collapsed="false">
      <c r="A20" s="0" t="s">
        <v>21</v>
      </c>
      <c r="B20" s="0" t="n">
        <v>2</v>
      </c>
      <c r="C20" s="0" t="n">
        <v>1</v>
      </c>
      <c r="D20" s="0" t="n">
        <v>1</v>
      </c>
      <c r="E20" s="0" t="n">
        <v>2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1</v>
      </c>
      <c r="L20" s="0" t="n">
        <v>2</v>
      </c>
      <c r="M20" s="0" t="n">
        <v>1</v>
      </c>
      <c r="N20" s="0" t="n">
        <v>2</v>
      </c>
      <c r="O20" s="0" t="n">
        <v>1</v>
      </c>
      <c r="P20" s="0" t="n">
        <v>1</v>
      </c>
      <c r="Q20" s="0" t="n">
        <v>1</v>
      </c>
      <c r="R20" s="0" t="n">
        <v>3</v>
      </c>
      <c r="S20" s="0" t="n">
        <v>1</v>
      </c>
      <c r="T20" s="0" t="n">
        <v>3</v>
      </c>
      <c r="U20" s="0" t="n">
        <v>3</v>
      </c>
      <c r="V20" s="0" t="n">
        <v>2</v>
      </c>
      <c r="W20" s="0" t="n">
        <v>2</v>
      </c>
      <c r="X20" s="0" t="n">
        <v>2</v>
      </c>
      <c r="Y20" s="0" t="n">
        <v>2</v>
      </c>
      <c r="Z20" s="0" t="n">
        <v>2</v>
      </c>
      <c r="AA20" s="0" t="n">
        <v>2</v>
      </c>
      <c r="AB20" s="0" t="n">
        <v>1</v>
      </c>
      <c r="AC20" s="0" t="n">
        <v>2</v>
      </c>
      <c r="AD20" s="0" t="n">
        <v>1</v>
      </c>
      <c r="AE20" s="0" t="n">
        <v>1</v>
      </c>
      <c r="AF20" s="0" t="n">
        <v>1</v>
      </c>
      <c r="AG20" s="0" t="n">
        <v>2</v>
      </c>
      <c r="AI20" s="0" t="n">
        <f aca="false">AVERAGE(B20:AG20)</f>
        <v>1.6875</v>
      </c>
      <c r="AJ20" s="0" t="n">
        <f aca="false">STDEVP(B20:AG20)</f>
        <v>0.726184377413891</v>
      </c>
      <c r="AK20" s="0" t="n">
        <f aca="false">1.96*AJ20/SQRT(32)</f>
        <v>0.251610049853936</v>
      </c>
    </row>
    <row r="21" customFormat="false" ht="15" hidden="false" customHeight="false" outlineLevel="0" collapsed="false">
      <c r="A21" s="0" t="s">
        <v>22</v>
      </c>
      <c r="B21" s="0" t="n">
        <v>2</v>
      </c>
      <c r="C21" s="0" t="n">
        <v>2</v>
      </c>
      <c r="D21" s="0" t="n">
        <v>2</v>
      </c>
      <c r="E21" s="0" t="n">
        <v>2</v>
      </c>
      <c r="F21" s="0" t="n">
        <v>3</v>
      </c>
      <c r="G21" s="0" t="n">
        <v>3</v>
      </c>
      <c r="H21" s="0" t="n">
        <v>2</v>
      </c>
      <c r="I21" s="0" t="n">
        <v>3</v>
      </c>
      <c r="J21" s="0" t="n">
        <v>2</v>
      </c>
      <c r="K21" s="0" t="n">
        <v>2</v>
      </c>
      <c r="L21" s="0" t="n">
        <v>3</v>
      </c>
      <c r="M21" s="0" t="n">
        <v>2</v>
      </c>
      <c r="N21" s="0" t="n">
        <v>3</v>
      </c>
      <c r="O21" s="0" t="n">
        <v>3</v>
      </c>
      <c r="P21" s="0" t="n">
        <v>2</v>
      </c>
      <c r="Q21" s="0" t="n">
        <v>2</v>
      </c>
      <c r="R21" s="0" t="n">
        <v>3</v>
      </c>
      <c r="S21" s="0" t="n">
        <v>2</v>
      </c>
      <c r="T21" s="0" t="n">
        <v>3</v>
      </c>
      <c r="U21" s="0" t="n">
        <v>3</v>
      </c>
      <c r="V21" s="0" t="n">
        <v>3</v>
      </c>
      <c r="W21" s="0" t="n">
        <v>2</v>
      </c>
      <c r="X21" s="0" t="n">
        <v>2</v>
      </c>
      <c r="Y21" s="0" t="n">
        <v>3</v>
      </c>
      <c r="Z21" s="0" t="n">
        <v>3</v>
      </c>
      <c r="AA21" s="0" t="n">
        <v>2</v>
      </c>
      <c r="AB21" s="0" t="n">
        <v>3</v>
      </c>
      <c r="AC21" s="0" t="n">
        <v>2</v>
      </c>
      <c r="AD21" s="0" t="n">
        <v>2</v>
      </c>
      <c r="AE21" s="0" t="n">
        <v>2</v>
      </c>
      <c r="AF21" s="0" t="n">
        <v>2</v>
      </c>
      <c r="AG21" s="0" t="n">
        <v>2</v>
      </c>
      <c r="AI21" s="0" t="n">
        <f aca="false">AVERAGE(B21:AG21)</f>
        <v>2.40625</v>
      </c>
      <c r="AJ21" s="0" t="n">
        <f aca="false">STDEVP(B21:AG21)</f>
        <v>0.491132301421929</v>
      </c>
      <c r="AK21" s="0" t="n">
        <f aca="false">1.96*AJ21/SQRT(32)</f>
        <v>0.170168660589649</v>
      </c>
    </row>
    <row r="22" customFormat="false" ht="15" hidden="false" customHeight="false" outlineLevel="0" collapsed="false">
      <c r="A22" s="0" t="s">
        <v>23</v>
      </c>
      <c r="B22" s="0" t="n">
        <v>3</v>
      </c>
      <c r="C22" s="0" t="n">
        <v>2</v>
      </c>
      <c r="D22" s="0" t="n">
        <v>2</v>
      </c>
      <c r="E22" s="0" t="n">
        <v>3</v>
      </c>
      <c r="F22" s="0" t="n">
        <v>1</v>
      </c>
      <c r="G22" s="0" t="n">
        <v>2</v>
      </c>
      <c r="H22" s="0" t="n">
        <v>2</v>
      </c>
      <c r="I22" s="0" t="n">
        <v>3</v>
      </c>
      <c r="J22" s="0" t="n">
        <v>3</v>
      </c>
      <c r="K22" s="0" t="n">
        <v>1</v>
      </c>
      <c r="L22" s="0" t="n">
        <v>3</v>
      </c>
      <c r="M22" s="0" t="n">
        <v>3</v>
      </c>
      <c r="N22" s="0" t="n">
        <v>3</v>
      </c>
      <c r="O22" s="0" t="n">
        <v>2</v>
      </c>
      <c r="P22" s="0" t="n">
        <v>2</v>
      </c>
      <c r="Q22" s="0" t="n">
        <v>2</v>
      </c>
      <c r="R22" s="0" t="n">
        <v>3</v>
      </c>
      <c r="S22" s="0" t="n">
        <v>2</v>
      </c>
      <c r="T22" s="0" t="n">
        <v>2</v>
      </c>
      <c r="U22" s="0" t="n">
        <v>3</v>
      </c>
      <c r="V22" s="0" t="n">
        <v>3</v>
      </c>
      <c r="W22" s="0" t="n">
        <v>2</v>
      </c>
      <c r="X22" s="0" t="n">
        <v>2</v>
      </c>
      <c r="Y22" s="0" t="n">
        <v>1</v>
      </c>
      <c r="Z22" s="0" t="n">
        <v>3</v>
      </c>
      <c r="AA22" s="0" t="n">
        <v>3</v>
      </c>
      <c r="AB22" s="0" t="n">
        <v>2</v>
      </c>
      <c r="AC22" s="0" t="n">
        <v>2</v>
      </c>
      <c r="AD22" s="0" t="n">
        <v>2</v>
      </c>
      <c r="AE22" s="0" t="n">
        <v>3</v>
      </c>
      <c r="AF22" s="0" t="n">
        <v>2</v>
      </c>
      <c r="AG22" s="0" t="n">
        <v>3</v>
      </c>
      <c r="AI22" s="0" t="n">
        <f aca="false">AVERAGE(B22:AG22)</f>
        <v>2.34375</v>
      </c>
      <c r="AJ22" s="0" t="n">
        <f aca="false">STDEVP(B22:AG22)</f>
        <v>0.642717618787598</v>
      </c>
      <c r="AK22" s="0" t="n">
        <f aca="false">1.96*AJ22/SQRT(32)</f>
        <v>0.222690293450063</v>
      </c>
    </row>
    <row r="23" customFormat="false" ht="15" hidden="false" customHeight="false" outlineLevel="0" collapsed="false">
      <c r="A23" s="0" t="s">
        <v>24</v>
      </c>
      <c r="B23" s="0" t="n">
        <v>2</v>
      </c>
      <c r="C23" s="0" t="n">
        <v>2</v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2</v>
      </c>
      <c r="I23" s="0" t="n">
        <v>3</v>
      </c>
      <c r="J23" s="0" t="n">
        <v>2</v>
      </c>
      <c r="K23" s="0" t="n">
        <v>1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2</v>
      </c>
      <c r="Q23" s="0" t="n">
        <v>1</v>
      </c>
      <c r="R23" s="0" t="n">
        <v>3</v>
      </c>
      <c r="S23" s="0" t="n">
        <v>2</v>
      </c>
      <c r="T23" s="0" t="n">
        <v>2</v>
      </c>
      <c r="U23" s="0" t="n">
        <v>2</v>
      </c>
      <c r="V23" s="0" t="n">
        <v>3</v>
      </c>
      <c r="W23" s="0" t="n">
        <v>2</v>
      </c>
      <c r="X23" s="0" t="n">
        <v>2</v>
      </c>
      <c r="Y23" s="0" t="n">
        <v>1</v>
      </c>
      <c r="Z23" s="0" t="n">
        <v>2</v>
      </c>
      <c r="AA23" s="0" t="n">
        <v>2</v>
      </c>
      <c r="AB23" s="0" t="n">
        <v>2</v>
      </c>
      <c r="AC23" s="0" t="n">
        <v>2</v>
      </c>
      <c r="AD23" s="0" t="n">
        <v>2</v>
      </c>
      <c r="AE23" s="0" t="n">
        <v>2</v>
      </c>
      <c r="AF23" s="0" t="n">
        <v>1</v>
      </c>
      <c r="AG23" s="0" t="n">
        <v>2</v>
      </c>
      <c r="AI23" s="0" t="n">
        <f aca="false">AVERAGE(B23:AG23)</f>
        <v>1.96875</v>
      </c>
      <c r="AJ23" s="0" t="n">
        <f aca="false">STDEVP(B23:AG23)</f>
        <v>0.466662016345877</v>
      </c>
      <c r="AK23" s="0" t="n">
        <f aca="false">1.96*AJ23/SQRT(32)</f>
        <v>0.161690139377375</v>
      </c>
    </row>
    <row r="24" customFormat="false" ht="15" hidden="false" customHeight="false" outlineLevel="0" collapsed="false">
      <c r="A24" s="0" t="s">
        <v>25</v>
      </c>
      <c r="B24" s="0" t="n">
        <v>2</v>
      </c>
      <c r="C24" s="0" t="n">
        <v>2</v>
      </c>
      <c r="D24" s="0" t="n">
        <v>2</v>
      </c>
      <c r="E24" s="0" t="n">
        <v>2</v>
      </c>
      <c r="F24" s="0" t="n">
        <v>2</v>
      </c>
      <c r="G24" s="0" t="n">
        <v>2</v>
      </c>
      <c r="H24" s="0" t="n">
        <v>2</v>
      </c>
      <c r="I24" s="0" t="n">
        <v>3</v>
      </c>
      <c r="J24" s="0" t="n">
        <v>2</v>
      </c>
      <c r="K24" s="0" t="n">
        <v>1</v>
      </c>
      <c r="L24" s="0" t="n">
        <v>2</v>
      </c>
      <c r="M24" s="0" t="n">
        <v>2</v>
      </c>
      <c r="N24" s="0" t="n">
        <v>2</v>
      </c>
      <c r="O24" s="0" t="n">
        <v>3</v>
      </c>
      <c r="P24" s="0" t="n">
        <v>2</v>
      </c>
      <c r="Q24" s="0" t="n">
        <v>1</v>
      </c>
      <c r="R24" s="0" t="n">
        <v>3</v>
      </c>
      <c r="S24" s="0" t="n">
        <v>1</v>
      </c>
      <c r="T24" s="0" t="n">
        <v>2</v>
      </c>
      <c r="U24" s="0" t="n">
        <v>2</v>
      </c>
      <c r="V24" s="0" t="n">
        <v>2</v>
      </c>
      <c r="W24" s="0" t="n">
        <v>2</v>
      </c>
      <c r="X24" s="0" t="n">
        <v>2</v>
      </c>
      <c r="Y24" s="0" t="n">
        <v>1</v>
      </c>
      <c r="Z24" s="0" t="n">
        <v>2</v>
      </c>
      <c r="AA24" s="0" t="n">
        <v>2</v>
      </c>
      <c r="AB24" s="0" t="n">
        <v>3</v>
      </c>
      <c r="AC24" s="0" t="n">
        <v>2</v>
      </c>
      <c r="AD24" s="0" t="n">
        <v>2</v>
      </c>
      <c r="AE24" s="0" t="n">
        <v>2</v>
      </c>
      <c r="AF24" s="0" t="n">
        <v>1</v>
      </c>
      <c r="AG24" s="0" t="n">
        <v>2</v>
      </c>
      <c r="AI24" s="0" t="n">
        <f aca="false">AVERAGE(B24:AG24)</f>
        <v>1.96875</v>
      </c>
      <c r="AJ24" s="0" t="n">
        <f aca="false">STDEVP(B24:AG24)</f>
        <v>0.529408573315544</v>
      </c>
      <c r="AK24" s="0" t="n">
        <f aca="false">1.96*AJ24/SQRT(32)</f>
        <v>0.183430712182761</v>
      </c>
    </row>
    <row r="25" customFormat="false" ht="15" hidden="false" customHeight="false" outlineLevel="0" collapsed="false">
      <c r="A25" s="0" t="s">
        <v>26</v>
      </c>
      <c r="B25" s="0" t="n">
        <v>2</v>
      </c>
      <c r="C25" s="0" t="n">
        <v>3</v>
      </c>
      <c r="D25" s="0" t="n">
        <v>3</v>
      </c>
      <c r="E25" s="0" t="n">
        <v>2</v>
      </c>
      <c r="F25" s="0" t="n">
        <v>3</v>
      </c>
      <c r="G25" s="0" t="n">
        <v>3</v>
      </c>
      <c r="H25" s="0" t="n">
        <v>3</v>
      </c>
      <c r="I25" s="0" t="n">
        <v>4</v>
      </c>
      <c r="J25" s="0" t="n">
        <v>3</v>
      </c>
      <c r="K25" s="0" t="n">
        <v>2</v>
      </c>
      <c r="L25" s="0" t="n">
        <v>3</v>
      </c>
      <c r="M25" s="0" t="n">
        <v>3</v>
      </c>
      <c r="N25" s="0" t="n">
        <v>3</v>
      </c>
      <c r="O25" s="0" t="n">
        <v>3</v>
      </c>
      <c r="P25" s="0" t="n">
        <v>2</v>
      </c>
      <c r="Q25" s="0" t="n">
        <v>2</v>
      </c>
      <c r="R25" s="0" t="n">
        <v>4</v>
      </c>
      <c r="S25" s="0" t="n">
        <v>3</v>
      </c>
      <c r="T25" s="0" t="n">
        <v>2</v>
      </c>
      <c r="U25" s="0" t="n">
        <v>4</v>
      </c>
      <c r="V25" s="0" t="n">
        <v>3</v>
      </c>
      <c r="W25" s="0" t="n">
        <v>3</v>
      </c>
      <c r="X25" s="0" t="n">
        <v>3</v>
      </c>
      <c r="Y25" s="0" t="n">
        <v>3</v>
      </c>
      <c r="Z25" s="0" t="n">
        <v>4</v>
      </c>
      <c r="AA25" s="0" t="n">
        <v>4</v>
      </c>
      <c r="AB25" s="0" t="n">
        <v>3</v>
      </c>
      <c r="AC25" s="0" t="n">
        <v>2</v>
      </c>
      <c r="AD25" s="0" t="n">
        <v>3</v>
      </c>
      <c r="AE25" s="0" t="n">
        <v>3</v>
      </c>
      <c r="AF25" s="0" t="n">
        <v>2</v>
      </c>
      <c r="AG25" s="0" t="n">
        <v>3</v>
      </c>
      <c r="AI25" s="0" t="n">
        <f aca="false">AVERAGE(B25:AG25)</f>
        <v>2.90625</v>
      </c>
      <c r="AJ25" s="0" t="n">
        <f aca="false">STDEVP(B25:AG25)</f>
        <v>0.630445031307251</v>
      </c>
      <c r="AK25" s="0" t="n">
        <f aca="false">1.96*AJ25/SQRT(32)</f>
        <v>0.218438058833334</v>
      </c>
    </row>
    <row r="26" customFormat="false" ht="15" hidden="false" customHeight="false" outlineLevel="0" collapsed="false">
      <c r="A26" s="0" t="s">
        <v>27</v>
      </c>
      <c r="B26" s="0" t="n">
        <v>2</v>
      </c>
      <c r="C26" s="0" t="n">
        <v>2</v>
      </c>
      <c r="D26" s="0" t="n">
        <v>3</v>
      </c>
      <c r="E26" s="0" t="n">
        <v>3</v>
      </c>
      <c r="F26" s="0" t="n">
        <v>3</v>
      </c>
      <c r="G26" s="0" t="n">
        <v>2</v>
      </c>
      <c r="H26" s="0" t="n">
        <v>2</v>
      </c>
      <c r="I26" s="0" t="n">
        <v>3</v>
      </c>
      <c r="J26" s="0" t="n">
        <v>3</v>
      </c>
      <c r="K26" s="0" t="n">
        <v>2</v>
      </c>
      <c r="L26" s="0" t="n">
        <v>3</v>
      </c>
      <c r="M26" s="0" t="n">
        <v>4</v>
      </c>
      <c r="N26" s="0" t="n">
        <v>3</v>
      </c>
      <c r="O26" s="0" t="n">
        <v>2</v>
      </c>
      <c r="P26" s="0" t="n">
        <v>2</v>
      </c>
      <c r="Q26" s="0" t="n">
        <v>1</v>
      </c>
      <c r="R26" s="0" t="n">
        <v>4</v>
      </c>
      <c r="S26" s="0" t="n">
        <v>3</v>
      </c>
      <c r="T26" s="0" t="n">
        <v>3</v>
      </c>
      <c r="U26" s="0" t="n">
        <v>2</v>
      </c>
      <c r="V26" s="0" t="n">
        <v>3</v>
      </c>
      <c r="W26" s="0" t="n">
        <v>3</v>
      </c>
      <c r="X26" s="0" t="n">
        <v>2</v>
      </c>
      <c r="Y26" s="0" t="n">
        <v>1</v>
      </c>
      <c r="Z26" s="0" t="n">
        <v>2</v>
      </c>
      <c r="AA26" s="0" t="n">
        <v>3</v>
      </c>
      <c r="AB26" s="0" t="n">
        <v>3</v>
      </c>
      <c r="AC26" s="0" t="n">
        <v>2</v>
      </c>
      <c r="AD26" s="0" t="n">
        <v>2</v>
      </c>
      <c r="AE26" s="0" t="n">
        <v>2</v>
      </c>
      <c r="AF26" s="0" t="n">
        <v>1</v>
      </c>
      <c r="AG26" s="0" t="n">
        <v>3</v>
      </c>
      <c r="AI26" s="0" t="n">
        <f aca="false">AVERAGE(B26:AG26)</f>
        <v>2.46875</v>
      </c>
      <c r="AJ26" s="0" t="n">
        <f aca="false">STDEVP(B26:AG26)</f>
        <v>0.749348675517612</v>
      </c>
      <c r="AK26" s="0" t="n">
        <f aca="false">1.96*AJ26/SQRT(32)</f>
        <v>0.259636069666514</v>
      </c>
    </row>
    <row r="27" customFormat="false" ht="15" hidden="false" customHeight="false" outlineLevel="0" collapsed="false">
      <c r="A27" s="0" t="s">
        <v>28</v>
      </c>
      <c r="B27" s="0" t="n">
        <v>2</v>
      </c>
      <c r="C27" s="0" t="n">
        <v>2</v>
      </c>
      <c r="D27" s="0" t="n">
        <v>2</v>
      </c>
      <c r="E27" s="0" t="n">
        <v>2</v>
      </c>
      <c r="F27" s="0" t="n">
        <v>2</v>
      </c>
      <c r="G27" s="0" t="n">
        <v>2</v>
      </c>
      <c r="H27" s="0" t="n">
        <v>2</v>
      </c>
      <c r="I27" s="0" t="n">
        <v>3</v>
      </c>
      <c r="J27" s="0" t="n">
        <v>1</v>
      </c>
      <c r="K27" s="0" t="n">
        <v>1</v>
      </c>
      <c r="L27" s="0" t="n">
        <v>2</v>
      </c>
      <c r="M27" s="0" t="n">
        <v>1</v>
      </c>
      <c r="N27" s="0" t="n">
        <v>2</v>
      </c>
      <c r="O27" s="0" t="n">
        <v>3</v>
      </c>
      <c r="P27" s="0" t="n">
        <v>1</v>
      </c>
      <c r="Q27" s="0" t="n">
        <v>1</v>
      </c>
      <c r="R27" s="0" t="n">
        <v>3</v>
      </c>
      <c r="S27" s="0" t="n">
        <v>1</v>
      </c>
      <c r="T27" s="0" t="n">
        <v>2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1</v>
      </c>
      <c r="Z27" s="0" t="n">
        <v>2</v>
      </c>
      <c r="AA27" s="0" t="n">
        <v>2</v>
      </c>
      <c r="AB27" s="0" t="n">
        <v>2</v>
      </c>
      <c r="AC27" s="0" t="n">
        <v>2</v>
      </c>
      <c r="AD27" s="0" t="n">
        <v>2</v>
      </c>
      <c r="AE27" s="0" t="n">
        <v>2</v>
      </c>
      <c r="AF27" s="0" t="n">
        <v>1</v>
      </c>
      <c r="AG27" s="0" t="n">
        <v>2</v>
      </c>
      <c r="AI27" s="0" t="n">
        <f aca="false">AVERAGE(B27:AG27)</f>
        <v>1.84375</v>
      </c>
      <c r="AJ27" s="0" t="n">
        <f aca="false">STDEVP(B27:AG27)</f>
        <v>0.565098166250785</v>
      </c>
      <c r="AK27" s="0" t="n">
        <f aca="false">1.96*AJ27/SQRT(32)</f>
        <v>0.195796525242086</v>
      </c>
    </row>
    <row r="28" customFormat="false" ht="15" hidden="false" customHeight="false" outlineLevel="0" collapsed="false">
      <c r="A28" s="0" t="s">
        <v>29</v>
      </c>
      <c r="B28" s="0" t="n">
        <v>3</v>
      </c>
      <c r="C28" s="0" t="n">
        <v>2</v>
      </c>
      <c r="D28" s="0" t="n">
        <v>2</v>
      </c>
      <c r="E28" s="0" t="n">
        <v>2</v>
      </c>
      <c r="F28" s="0" t="n">
        <v>2</v>
      </c>
      <c r="G28" s="0" t="n">
        <v>2</v>
      </c>
      <c r="H28" s="0" t="n">
        <v>1</v>
      </c>
      <c r="I28" s="0" t="n">
        <v>3</v>
      </c>
      <c r="J28" s="0" t="n">
        <v>2</v>
      </c>
      <c r="K28" s="0" t="n">
        <v>1</v>
      </c>
      <c r="L28" s="0" t="n">
        <v>3</v>
      </c>
      <c r="M28" s="0" t="n">
        <v>2</v>
      </c>
      <c r="N28" s="0" t="n">
        <v>2</v>
      </c>
      <c r="O28" s="0" t="n">
        <v>2</v>
      </c>
      <c r="P28" s="0" t="n">
        <v>2</v>
      </c>
      <c r="Q28" s="0" t="n">
        <v>1</v>
      </c>
      <c r="R28" s="0" t="n">
        <v>3</v>
      </c>
      <c r="S28" s="0" t="n">
        <v>1</v>
      </c>
      <c r="T28" s="0" t="n">
        <v>2</v>
      </c>
      <c r="U28" s="0" t="n">
        <v>2</v>
      </c>
      <c r="V28" s="0" t="n">
        <v>2</v>
      </c>
      <c r="W28" s="0" t="n">
        <v>3</v>
      </c>
      <c r="X28" s="0" t="n">
        <v>1</v>
      </c>
      <c r="Y28" s="0" t="n">
        <v>1</v>
      </c>
      <c r="Z28" s="0" t="n">
        <v>2</v>
      </c>
      <c r="AA28" s="0" t="n">
        <v>2</v>
      </c>
      <c r="AB28" s="0" t="n">
        <v>2</v>
      </c>
      <c r="AC28" s="0" t="n">
        <v>2</v>
      </c>
      <c r="AD28" s="0" t="n">
        <v>1</v>
      </c>
      <c r="AE28" s="0" t="n">
        <v>1</v>
      </c>
      <c r="AF28" s="0" t="n">
        <v>1</v>
      </c>
      <c r="AG28" s="0" t="n">
        <v>2</v>
      </c>
      <c r="AI28" s="0" t="n">
        <f aca="false">AVERAGE(B28:AG28)</f>
        <v>1.875</v>
      </c>
      <c r="AJ28" s="0" t="n">
        <f aca="false">STDEVP(B28:AG28)</f>
        <v>0.649519052838329</v>
      </c>
      <c r="AK28" s="0" t="n">
        <f aca="false">1.96*AJ28/SQRT(32)</f>
        <v>0.225046870118204</v>
      </c>
    </row>
    <row r="29" customFormat="false" ht="15" hidden="false" customHeight="false" outlineLevel="0" collapsed="false">
      <c r="A29" s="0" t="s">
        <v>30</v>
      </c>
      <c r="B29" s="0" t="n">
        <v>3</v>
      </c>
      <c r="C29" s="0" t="n">
        <v>3</v>
      </c>
      <c r="D29" s="0" t="n">
        <v>2</v>
      </c>
      <c r="E29" s="0" t="n">
        <v>2</v>
      </c>
      <c r="F29" s="0" t="n">
        <v>3</v>
      </c>
      <c r="G29" s="0" t="n">
        <v>2</v>
      </c>
      <c r="H29" s="0" t="n">
        <v>2</v>
      </c>
      <c r="I29" s="0" t="n">
        <v>3</v>
      </c>
      <c r="J29" s="0" t="n">
        <v>2</v>
      </c>
      <c r="K29" s="0" t="n">
        <v>2</v>
      </c>
      <c r="L29" s="0" t="n">
        <v>3</v>
      </c>
      <c r="M29" s="0" t="n">
        <v>2</v>
      </c>
      <c r="N29" s="0" t="n">
        <v>4</v>
      </c>
      <c r="O29" s="0" t="n">
        <v>2</v>
      </c>
      <c r="P29" s="0" t="n">
        <v>2</v>
      </c>
      <c r="Q29" s="0" t="n">
        <v>1</v>
      </c>
      <c r="R29" s="0" t="n">
        <v>3</v>
      </c>
      <c r="S29" s="0" t="n">
        <v>1</v>
      </c>
      <c r="T29" s="0" t="n">
        <v>3</v>
      </c>
      <c r="U29" s="0" t="n">
        <v>3</v>
      </c>
      <c r="V29" s="0" t="n">
        <v>3</v>
      </c>
      <c r="W29" s="0" t="n">
        <v>2</v>
      </c>
      <c r="X29" s="0" t="n">
        <v>2</v>
      </c>
      <c r="Y29" s="0" t="n">
        <v>3</v>
      </c>
      <c r="Z29" s="0" t="n">
        <v>2</v>
      </c>
      <c r="AA29" s="0" t="n">
        <v>3</v>
      </c>
      <c r="AB29" s="0" t="n">
        <v>3</v>
      </c>
      <c r="AC29" s="0" t="n">
        <v>3</v>
      </c>
      <c r="AD29" s="0" t="n">
        <v>3</v>
      </c>
      <c r="AE29" s="0" t="n">
        <v>2</v>
      </c>
      <c r="AF29" s="0" t="n">
        <v>2</v>
      </c>
      <c r="AG29" s="0" t="n">
        <v>2</v>
      </c>
      <c r="AI29" s="0" t="n">
        <f aca="false">AVERAGE(B29:AG29)</f>
        <v>2.4375</v>
      </c>
      <c r="AJ29" s="0" t="n">
        <f aca="false">STDEVP(B29:AG29)</f>
        <v>0.658478359553296</v>
      </c>
      <c r="AK29" s="0" t="n">
        <f aca="false">1.96*AJ29/SQRT(32)</f>
        <v>0.228151111519317</v>
      </c>
    </row>
    <row r="30" customFormat="false" ht="15" hidden="false" customHeight="false" outlineLevel="0" collapsed="false">
      <c r="A30" s="0" t="s">
        <v>31</v>
      </c>
      <c r="B30" s="0" t="n">
        <v>2</v>
      </c>
      <c r="C30" s="0" t="n">
        <v>2</v>
      </c>
      <c r="D30" s="0" t="n">
        <v>3</v>
      </c>
      <c r="E30" s="0" t="n">
        <v>3</v>
      </c>
      <c r="F30" s="0" t="n">
        <v>2</v>
      </c>
      <c r="G30" s="0" t="n">
        <v>3</v>
      </c>
      <c r="H30" s="0" t="n">
        <v>2</v>
      </c>
      <c r="I30" s="0" t="n">
        <v>3</v>
      </c>
      <c r="J30" s="0" t="n">
        <v>3</v>
      </c>
      <c r="K30" s="0" t="n">
        <v>1</v>
      </c>
      <c r="L30" s="0" t="n">
        <v>2</v>
      </c>
      <c r="M30" s="0" t="n">
        <v>2</v>
      </c>
      <c r="N30" s="0" t="n">
        <v>3</v>
      </c>
      <c r="O30" s="0" t="n">
        <v>3</v>
      </c>
      <c r="P30" s="0" t="n">
        <v>2</v>
      </c>
      <c r="Q30" s="0" t="n">
        <v>1</v>
      </c>
      <c r="R30" s="0" t="n">
        <v>3</v>
      </c>
      <c r="S30" s="0" t="n">
        <v>1</v>
      </c>
      <c r="T30" s="0" t="n">
        <v>2</v>
      </c>
      <c r="U30" s="0" t="n">
        <v>2</v>
      </c>
      <c r="V30" s="0" t="n">
        <v>2</v>
      </c>
      <c r="W30" s="0" t="n">
        <v>3</v>
      </c>
      <c r="X30" s="0" t="n">
        <v>2</v>
      </c>
      <c r="Y30" s="0" t="n">
        <v>3</v>
      </c>
      <c r="Z30" s="0" t="n">
        <v>2</v>
      </c>
      <c r="AA30" s="0" t="n">
        <v>3</v>
      </c>
      <c r="AB30" s="0" t="n">
        <v>2</v>
      </c>
      <c r="AC30" s="0" t="n">
        <v>2</v>
      </c>
      <c r="AD30" s="0" t="n">
        <v>2</v>
      </c>
      <c r="AE30" s="0" t="n">
        <v>1</v>
      </c>
      <c r="AF30" s="0" t="n">
        <v>2</v>
      </c>
      <c r="AG30" s="0" t="n">
        <v>3</v>
      </c>
      <c r="AI30" s="0" t="n">
        <f aca="false">AVERAGE(B30:AG30)</f>
        <v>2.25</v>
      </c>
      <c r="AJ30" s="0" t="n">
        <f aca="false">STDEVP(B30:AG30)</f>
        <v>0.661437827766148</v>
      </c>
      <c r="AK30" s="0" t="n">
        <f aca="false">1.96*AJ30/SQRT(32)</f>
        <v>0.229176514939904</v>
      </c>
    </row>
    <row r="31" customFormat="false" ht="15" hidden="false" customHeight="false" outlineLevel="0" collapsed="false">
      <c r="A31" s="0" t="s">
        <v>32</v>
      </c>
      <c r="B31" s="0" t="n">
        <v>3</v>
      </c>
      <c r="C31" s="0" t="n">
        <v>3</v>
      </c>
      <c r="D31" s="0" t="n">
        <v>4</v>
      </c>
      <c r="E31" s="0" t="n">
        <v>3</v>
      </c>
      <c r="F31" s="0" t="n">
        <v>5</v>
      </c>
      <c r="G31" s="0" t="n">
        <v>5</v>
      </c>
      <c r="H31" s="0" t="n">
        <v>3</v>
      </c>
      <c r="I31" s="0" t="n">
        <v>5</v>
      </c>
      <c r="J31" s="0" t="n">
        <v>5</v>
      </c>
      <c r="K31" s="0" t="n">
        <v>2</v>
      </c>
      <c r="L31" s="0" t="n">
        <v>4</v>
      </c>
      <c r="M31" s="0" t="n">
        <v>3</v>
      </c>
      <c r="N31" s="0" t="n">
        <v>5</v>
      </c>
      <c r="O31" s="0" t="n">
        <v>2</v>
      </c>
      <c r="P31" s="0" t="n">
        <v>3</v>
      </c>
      <c r="Q31" s="0" t="n">
        <v>4</v>
      </c>
      <c r="R31" s="0" t="n">
        <v>4</v>
      </c>
      <c r="S31" s="0" t="n">
        <v>4</v>
      </c>
      <c r="T31" s="0" t="n">
        <v>5</v>
      </c>
      <c r="U31" s="0" t="n">
        <v>5</v>
      </c>
      <c r="V31" s="0" t="n">
        <v>4</v>
      </c>
      <c r="W31" s="0" t="n">
        <v>5</v>
      </c>
      <c r="X31" s="0" t="n">
        <v>3</v>
      </c>
      <c r="Y31" s="0" t="n">
        <v>5</v>
      </c>
      <c r="Z31" s="0" t="n">
        <v>4</v>
      </c>
      <c r="AA31" s="0" t="n">
        <v>4</v>
      </c>
      <c r="AB31" s="0" t="n">
        <v>4</v>
      </c>
      <c r="AC31" s="0" t="n">
        <v>4</v>
      </c>
      <c r="AD31" s="0" t="n">
        <v>4</v>
      </c>
      <c r="AE31" s="0" t="n">
        <v>5</v>
      </c>
      <c r="AF31" s="0" t="n">
        <v>3</v>
      </c>
      <c r="AG31" s="0" t="n">
        <v>5</v>
      </c>
      <c r="AI31" s="0" t="n">
        <f aca="false">AVERAGE(B31:AG31)</f>
        <v>3.96875</v>
      </c>
      <c r="AJ31" s="0" t="n">
        <f aca="false">STDEVP(B31:AG31)</f>
        <v>0.918026926348024</v>
      </c>
      <c r="AK31" s="0" t="n">
        <f aca="false">1.96*AJ31/SQRT(32)</f>
        <v>0.31808010181694</v>
      </c>
    </row>
    <row r="32" customFormat="false" ht="15" hidden="false" customHeight="false" outlineLevel="0" collapsed="false">
      <c r="A32" s="0" t="s">
        <v>33</v>
      </c>
      <c r="B32" s="0" t="n">
        <v>4</v>
      </c>
      <c r="C32" s="0" t="n">
        <v>3</v>
      </c>
      <c r="D32" s="0" t="n">
        <v>4</v>
      </c>
      <c r="E32" s="0" t="n">
        <v>3</v>
      </c>
      <c r="F32" s="0" t="n">
        <v>4</v>
      </c>
      <c r="G32" s="0" t="n">
        <v>5</v>
      </c>
      <c r="H32" s="0" t="n">
        <v>3</v>
      </c>
      <c r="I32" s="0" t="n">
        <v>5</v>
      </c>
      <c r="J32" s="0" t="n">
        <v>5</v>
      </c>
      <c r="K32" s="0" t="n">
        <v>2</v>
      </c>
      <c r="L32" s="0" t="n">
        <v>4</v>
      </c>
      <c r="M32" s="0" t="n">
        <v>4</v>
      </c>
      <c r="N32" s="0" t="n">
        <v>4</v>
      </c>
      <c r="O32" s="0" t="n">
        <v>3</v>
      </c>
      <c r="P32" s="0" t="n">
        <v>4</v>
      </c>
      <c r="Q32" s="0" t="n">
        <v>5</v>
      </c>
      <c r="R32" s="0" t="n">
        <v>5</v>
      </c>
      <c r="S32" s="0" t="n">
        <v>4</v>
      </c>
      <c r="T32" s="0" t="n">
        <v>5</v>
      </c>
      <c r="U32" s="0" t="n">
        <v>4</v>
      </c>
      <c r="V32" s="0" t="n">
        <v>5</v>
      </c>
      <c r="W32" s="0" t="n">
        <v>3</v>
      </c>
      <c r="X32" s="0" t="n">
        <v>4</v>
      </c>
      <c r="Y32" s="0" t="n">
        <v>5</v>
      </c>
      <c r="Z32" s="0" t="n">
        <v>4</v>
      </c>
      <c r="AA32" s="0" t="n">
        <v>5</v>
      </c>
      <c r="AB32" s="0" t="n">
        <v>5</v>
      </c>
      <c r="AC32" s="0" t="n">
        <v>4</v>
      </c>
      <c r="AD32" s="0" t="n">
        <v>4</v>
      </c>
      <c r="AE32" s="0" t="n">
        <v>3</v>
      </c>
      <c r="AF32" s="0" t="n">
        <v>2</v>
      </c>
      <c r="AG32" s="0" t="n">
        <v>4</v>
      </c>
      <c r="AI32" s="0" t="n">
        <f aca="false">AVERAGE(B32:AG32)</f>
        <v>4</v>
      </c>
      <c r="AJ32" s="0" t="n">
        <f aca="false">STDEVP(B32:AG32)</f>
        <v>0.866025403784439</v>
      </c>
      <c r="AK32" s="0" t="n">
        <f aca="false">1.96*AJ32/SQRT(32)</f>
        <v>0.300062493490939</v>
      </c>
    </row>
    <row r="33" customFormat="false" ht="15" hidden="false" customHeight="false" outlineLevel="0" collapsed="false">
      <c r="A33" s="0" t="s">
        <v>34</v>
      </c>
      <c r="B33" s="0" t="n">
        <v>4</v>
      </c>
      <c r="C33" s="0" t="n">
        <v>4</v>
      </c>
      <c r="D33" s="0" t="n">
        <v>4</v>
      </c>
      <c r="E33" s="0" t="n">
        <v>2</v>
      </c>
      <c r="F33" s="0" t="n">
        <v>5</v>
      </c>
      <c r="G33" s="0" t="n">
        <v>4</v>
      </c>
      <c r="H33" s="0" t="n">
        <v>4</v>
      </c>
      <c r="I33" s="0" t="n">
        <v>4</v>
      </c>
      <c r="J33" s="0" t="n">
        <v>5</v>
      </c>
      <c r="K33" s="0" t="n">
        <v>1</v>
      </c>
      <c r="L33" s="0" t="n">
        <v>4</v>
      </c>
      <c r="M33" s="0" t="n">
        <v>5</v>
      </c>
      <c r="N33" s="0" t="n">
        <v>5</v>
      </c>
      <c r="O33" s="0" t="n">
        <v>5</v>
      </c>
      <c r="P33" s="0" t="n">
        <v>4</v>
      </c>
      <c r="Q33" s="0" t="n">
        <v>5</v>
      </c>
      <c r="R33" s="0" t="n">
        <v>4</v>
      </c>
      <c r="S33" s="0" t="n">
        <v>5</v>
      </c>
      <c r="T33" s="0" t="n">
        <v>5</v>
      </c>
      <c r="U33" s="0" t="n">
        <v>5</v>
      </c>
      <c r="V33" s="0" t="n">
        <v>5</v>
      </c>
      <c r="W33" s="0" t="n">
        <v>4</v>
      </c>
      <c r="X33" s="0" t="n">
        <v>3</v>
      </c>
      <c r="Y33" s="0" t="n">
        <v>4</v>
      </c>
      <c r="Z33" s="0" t="n">
        <v>5</v>
      </c>
      <c r="AA33" s="0" t="n">
        <v>5</v>
      </c>
      <c r="AB33" s="0" t="n">
        <v>5</v>
      </c>
      <c r="AC33" s="0" t="n">
        <v>5</v>
      </c>
      <c r="AD33" s="0" t="n">
        <v>5</v>
      </c>
      <c r="AE33" s="0" t="n">
        <v>4</v>
      </c>
      <c r="AF33" s="0" t="n">
        <v>3</v>
      </c>
      <c r="AG33" s="0" t="n">
        <v>5</v>
      </c>
      <c r="AI33" s="0" t="n">
        <f aca="false">AVERAGE(B33:AG33)</f>
        <v>4.28125</v>
      </c>
      <c r="AJ33" s="0" t="n">
        <f aca="false">STDEVP(B33:AG33)</f>
        <v>0.943211767049161</v>
      </c>
      <c r="AK33" s="0" t="n">
        <f aca="false">1.96*AJ33/SQRT(32)</f>
        <v>0.32680620392195</v>
      </c>
    </row>
    <row r="34" customFormat="false" ht="15" hidden="false" customHeight="false" outlineLevel="0" collapsed="false">
      <c r="A34" s="0" t="s">
        <v>35</v>
      </c>
      <c r="B34" s="0" t="n">
        <v>5</v>
      </c>
      <c r="C34" s="0" t="n">
        <v>3</v>
      </c>
      <c r="D34" s="0" t="n">
        <v>3</v>
      </c>
      <c r="E34" s="0" t="n">
        <v>3</v>
      </c>
      <c r="F34" s="0" t="n">
        <v>5</v>
      </c>
      <c r="G34" s="0" t="n">
        <v>4</v>
      </c>
      <c r="H34" s="0" t="n">
        <v>4</v>
      </c>
      <c r="I34" s="0" t="n">
        <v>4</v>
      </c>
      <c r="J34" s="0" t="n">
        <v>5</v>
      </c>
      <c r="K34" s="0" t="n">
        <v>2</v>
      </c>
      <c r="L34" s="0" t="n">
        <v>4</v>
      </c>
      <c r="M34" s="0" t="n">
        <v>4</v>
      </c>
      <c r="N34" s="0" t="n">
        <v>3</v>
      </c>
      <c r="O34" s="0" t="n">
        <v>4</v>
      </c>
      <c r="P34" s="0" t="n">
        <v>4</v>
      </c>
      <c r="Q34" s="0" t="n">
        <v>5</v>
      </c>
      <c r="R34" s="0" t="n">
        <v>5</v>
      </c>
      <c r="S34" s="0" t="n">
        <v>4</v>
      </c>
      <c r="T34" s="0" t="n">
        <v>5</v>
      </c>
      <c r="U34" s="0" t="n">
        <v>4</v>
      </c>
      <c r="V34" s="0" t="n">
        <v>4</v>
      </c>
      <c r="W34" s="0" t="n">
        <v>4</v>
      </c>
      <c r="X34" s="0" t="n">
        <v>4</v>
      </c>
      <c r="Y34" s="0" t="n">
        <v>4</v>
      </c>
      <c r="Z34" s="0" t="n">
        <v>4</v>
      </c>
      <c r="AA34" s="0" t="n">
        <v>3</v>
      </c>
      <c r="AB34" s="0" t="n">
        <v>3</v>
      </c>
      <c r="AC34" s="0" t="n">
        <v>4</v>
      </c>
      <c r="AD34" s="0" t="n">
        <v>4</v>
      </c>
      <c r="AE34" s="0" t="n">
        <v>4</v>
      </c>
      <c r="AF34" s="0" t="n">
        <v>3</v>
      </c>
      <c r="AG34" s="0" t="n">
        <v>4</v>
      </c>
      <c r="AI34" s="0" t="n">
        <f aca="false">AVERAGE(B34:AG34)</f>
        <v>3.90625</v>
      </c>
      <c r="AJ34" s="0" t="n">
        <f aca="false">STDEVP(B34:AG34)</f>
        <v>0.722814594138774</v>
      </c>
      <c r="AK34" s="0" t="n">
        <f aca="false">1.96*AJ34/SQRT(32)</f>
        <v>0.250442479517503</v>
      </c>
    </row>
    <row r="35" customFormat="false" ht="15" hidden="false" customHeight="false" outlineLevel="0" collapsed="false">
      <c r="A35" s="0" t="s">
        <v>36</v>
      </c>
      <c r="B35" s="0" t="n">
        <v>1</v>
      </c>
      <c r="C35" s="0" t="n">
        <v>4</v>
      </c>
      <c r="D35" s="0" t="n">
        <v>4</v>
      </c>
      <c r="E35" s="0" t="n">
        <v>2</v>
      </c>
      <c r="F35" s="0" t="n">
        <v>3</v>
      </c>
      <c r="G35" s="0" t="n">
        <v>4</v>
      </c>
      <c r="H35" s="0" t="n">
        <v>3</v>
      </c>
      <c r="I35" s="0" t="n">
        <v>3</v>
      </c>
      <c r="J35" s="0" t="n">
        <v>4</v>
      </c>
      <c r="K35" s="0" t="n">
        <v>1</v>
      </c>
      <c r="L35" s="0" t="n">
        <v>3</v>
      </c>
      <c r="M35" s="0" t="n">
        <v>4</v>
      </c>
      <c r="N35" s="0" t="n">
        <v>3</v>
      </c>
      <c r="O35" s="0" t="n">
        <v>3</v>
      </c>
      <c r="P35" s="0" t="n">
        <v>2</v>
      </c>
      <c r="Q35" s="0" t="n">
        <v>3</v>
      </c>
      <c r="R35" s="0" t="n">
        <v>4</v>
      </c>
      <c r="S35" s="0" t="n">
        <v>3</v>
      </c>
      <c r="T35" s="0" t="n">
        <v>4</v>
      </c>
      <c r="U35" s="0" t="n">
        <v>3</v>
      </c>
      <c r="V35" s="0" t="n">
        <v>4</v>
      </c>
      <c r="W35" s="0" t="n">
        <v>3</v>
      </c>
      <c r="X35" s="0" t="n">
        <v>3</v>
      </c>
      <c r="Y35" s="0" t="n">
        <v>3</v>
      </c>
      <c r="Z35" s="0" t="n">
        <v>4</v>
      </c>
      <c r="AA35" s="0" t="n">
        <v>2</v>
      </c>
      <c r="AB35" s="0" t="n">
        <v>1</v>
      </c>
      <c r="AC35" s="0" t="n">
        <v>3</v>
      </c>
      <c r="AD35" s="0" t="n">
        <v>4</v>
      </c>
      <c r="AE35" s="0" t="n">
        <v>3</v>
      </c>
      <c r="AF35" s="0" t="n">
        <v>2</v>
      </c>
      <c r="AG35" s="0" t="n">
        <v>3</v>
      </c>
      <c r="AI35" s="0" t="n">
        <f aca="false">AVERAGE(B35:AG35)</f>
        <v>3</v>
      </c>
      <c r="AJ35" s="0" t="n">
        <f aca="false">STDEVP(B35:AG35)</f>
        <v>0.901387818865997</v>
      </c>
      <c r="AK35" s="0" t="n">
        <f aca="false">1.96*AJ35/SQRT(32)</f>
        <v>0.312314945207558</v>
      </c>
    </row>
    <row r="36" customFormat="false" ht="15" hidden="false" customHeight="false" outlineLevel="0" collapsed="false">
      <c r="A36" s="0" t="s">
        <v>37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I36" s="0" t="n">
        <f aca="false">AVERAGE(B36:AG36)</f>
        <v>1.0625</v>
      </c>
      <c r="AJ36" s="0" t="n">
        <f aca="false">STDEVP(B36:AG36)</f>
        <v>0.242061459137964</v>
      </c>
      <c r="AK36" s="0" t="n">
        <f aca="false">1.96*AJ36/SQRT(32)</f>
        <v>0.0838700166179786</v>
      </c>
    </row>
    <row r="37" customFormat="false" ht="15" hidden="false" customHeight="false" outlineLevel="0" collapsed="false">
      <c r="A37" s="0" t="s">
        <v>38</v>
      </c>
      <c r="B37" s="0" t="n">
        <v>1</v>
      </c>
      <c r="C37" s="0" t="n">
        <v>1</v>
      </c>
      <c r="D37" s="0" t="n">
        <v>2</v>
      </c>
      <c r="E37" s="0" t="n">
        <v>2</v>
      </c>
      <c r="F37" s="0" t="n">
        <v>3</v>
      </c>
      <c r="G37" s="0" t="n">
        <v>1</v>
      </c>
      <c r="H37" s="0" t="n">
        <v>1</v>
      </c>
      <c r="I37" s="0" t="n">
        <v>3</v>
      </c>
      <c r="J37" s="0" t="n">
        <v>2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2</v>
      </c>
      <c r="R37" s="0" t="n">
        <v>3</v>
      </c>
      <c r="S37" s="0" t="n">
        <v>1</v>
      </c>
      <c r="T37" s="0" t="n">
        <v>2</v>
      </c>
      <c r="U37" s="0" t="n">
        <v>2</v>
      </c>
      <c r="V37" s="0" t="n">
        <v>2</v>
      </c>
      <c r="W37" s="0" t="n">
        <v>2</v>
      </c>
      <c r="X37" s="0" t="n">
        <v>3</v>
      </c>
      <c r="Y37" s="0" t="n">
        <v>3</v>
      </c>
      <c r="Z37" s="0" t="n">
        <v>2</v>
      </c>
      <c r="AA37" s="0" t="n">
        <v>2</v>
      </c>
      <c r="AB37" s="0" t="n">
        <v>1</v>
      </c>
      <c r="AC37" s="0" t="n">
        <v>2</v>
      </c>
      <c r="AD37" s="0" t="n">
        <v>2</v>
      </c>
      <c r="AE37" s="0" t="n">
        <v>1</v>
      </c>
      <c r="AF37" s="0" t="n">
        <v>1</v>
      </c>
      <c r="AG37" s="0" t="n">
        <v>2</v>
      </c>
      <c r="AI37" s="0" t="n">
        <f aca="false">AVERAGE(B37:AG37)</f>
        <v>1.84375</v>
      </c>
      <c r="AJ37" s="0" t="n">
        <f aca="false">STDEVP(B37:AG37)</f>
        <v>0.666585281490673</v>
      </c>
      <c r="AK37" s="0" t="n">
        <f aca="false">1.96*AJ37/SQRT(32)</f>
        <v>0.230960016662787</v>
      </c>
    </row>
    <row r="38" customFormat="false" ht="15" hidden="false" customHeight="false" outlineLevel="0" collapsed="false">
      <c r="A38" s="0" t="s">
        <v>39</v>
      </c>
      <c r="B38" s="0" t="n">
        <v>2</v>
      </c>
      <c r="C38" s="0" t="n">
        <v>1</v>
      </c>
      <c r="D38" s="0" t="n">
        <v>2</v>
      </c>
      <c r="E38" s="0" t="n">
        <v>3</v>
      </c>
      <c r="F38" s="0" t="n">
        <v>3</v>
      </c>
      <c r="G38" s="0" t="n">
        <v>2</v>
      </c>
      <c r="H38" s="0" t="n">
        <v>1</v>
      </c>
      <c r="I38" s="0" t="n">
        <v>3</v>
      </c>
      <c r="J38" s="0" t="n">
        <v>1</v>
      </c>
      <c r="K38" s="0" t="n">
        <v>1</v>
      </c>
      <c r="L38" s="0" t="n">
        <v>2</v>
      </c>
      <c r="M38" s="0" t="n">
        <v>1</v>
      </c>
      <c r="N38" s="0" t="n">
        <v>2</v>
      </c>
      <c r="O38" s="0" t="n">
        <v>2</v>
      </c>
      <c r="P38" s="0" t="n">
        <v>2</v>
      </c>
      <c r="Q38" s="0" t="n">
        <v>1</v>
      </c>
      <c r="R38" s="0" t="n">
        <v>4</v>
      </c>
      <c r="S38" s="0" t="n">
        <v>1</v>
      </c>
      <c r="T38" s="0" t="n">
        <v>3</v>
      </c>
      <c r="U38" s="0" t="n">
        <v>1</v>
      </c>
      <c r="V38" s="0" t="n">
        <v>2</v>
      </c>
      <c r="W38" s="0" t="n">
        <v>2</v>
      </c>
      <c r="X38" s="0" t="n">
        <v>2</v>
      </c>
      <c r="Y38" s="0" t="n">
        <v>1</v>
      </c>
      <c r="Z38" s="0" t="n">
        <v>2</v>
      </c>
      <c r="AA38" s="0" t="n">
        <v>2</v>
      </c>
      <c r="AB38" s="0" t="n">
        <v>2</v>
      </c>
      <c r="AC38" s="0" t="n">
        <v>3</v>
      </c>
      <c r="AD38" s="0" t="n">
        <v>3</v>
      </c>
      <c r="AE38" s="0" t="n">
        <v>2</v>
      </c>
      <c r="AF38" s="0" t="n">
        <v>1</v>
      </c>
      <c r="AG38" s="0" t="n">
        <v>2</v>
      </c>
      <c r="AI38" s="0" t="n">
        <f aca="false">AVERAGE(B38:AG38)</f>
        <v>1.9375</v>
      </c>
      <c r="AJ38" s="0" t="n">
        <f aca="false">STDEVP(B38:AG38)</f>
        <v>0.788095013307406</v>
      </c>
      <c r="AK38" s="0" t="n">
        <f aca="false">1.96*AJ38/SQRT(32)</f>
        <v>0.273060990783195</v>
      </c>
    </row>
    <row r="39" customFormat="false" ht="15" hidden="false" customHeight="false" outlineLevel="0" collapsed="false">
      <c r="A39" s="0" t="s">
        <v>40</v>
      </c>
      <c r="B39" s="0" t="n">
        <v>2</v>
      </c>
      <c r="C39" s="0" t="n">
        <v>3</v>
      </c>
      <c r="D39" s="0" t="n">
        <v>2</v>
      </c>
      <c r="E39" s="0" t="n">
        <v>3</v>
      </c>
      <c r="F39" s="0" t="n">
        <v>3</v>
      </c>
      <c r="G39" s="0" t="n">
        <v>3</v>
      </c>
      <c r="H39" s="0" t="n">
        <v>2</v>
      </c>
      <c r="I39" s="0" t="n">
        <v>4</v>
      </c>
      <c r="J39" s="0" t="n">
        <v>4</v>
      </c>
      <c r="K39" s="0" t="n">
        <v>2</v>
      </c>
      <c r="L39" s="0" t="n">
        <v>2</v>
      </c>
      <c r="M39" s="0" t="n">
        <v>4</v>
      </c>
      <c r="N39" s="0" t="n">
        <v>3</v>
      </c>
      <c r="O39" s="0" t="n">
        <v>3</v>
      </c>
      <c r="P39" s="0" t="n">
        <v>3</v>
      </c>
      <c r="Q39" s="0" t="n">
        <v>2</v>
      </c>
      <c r="R39" s="0" t="n">
        <v>4</v>
      </c>
      <c r="S39" s="0" t="n">
        <v>1</v>
      </c>
      <c r="T39" s="0" t="n">
        <v>4</v>
      </c>
      <c r="U39" s="0" t="n">
        <v>3</v>
      </c>
      <c r="V39" s="0" t="n">
        <v>3</v>
      </c>
      <c r="W39" s="0" t="n">
        <v>3</v>
      </c>
      <c r="X39" s="0" t="n">
        <v>3</v>
      </c>
      <c r="Y39" s="0" t="n">
        <v>3</v>
      </c>
      <c r="Z39" s="0" t="n">
        <v>4</v>
      </c>
      <c r="AA39" s="0" t="n">
        <v>2</v>
      </c>
      <c r="AB39" s="0" t="n">
        <v>3</v>
      </c>
      <c r="AC39" s="0" t="n">
        <v>3</v>
      </c>
      <c r="AD39" s="0" t="n">
        <v>3</v>
      </c>
      <c r="AE39" s="0" t="n">
        <v>3</v>
      </c>
      <c r="AF39" s="0" t="n">
        <v>2</v>
      </c>
      <c r="AG39" s="0" t="n">
        <v>4</v>
      </c>
      <c r="AI39" s="0" t="n">
        <f aca="false">AVERAGE(B39:AG39)</f>
        <v>2.90625</v>
      </c>
      <c r="AJ39" s="0" t="n">
        <f aca="false">STDEVP(B39:AG39)</f>
        <v>0.764827390657526</v>
      </c>
      <c r="AK39" s="0" t="n">
        <f aca="false">1.96*AJ39/SQRT(32)</f>
        <v>0.264999170841863</v>
      </c>
    </row>
    <row r="40" customFormat="false" ht="15" hidden="false" customHeight="false" outlineLevel="0" collapsed="false">
      <c r="A40" s="0" t="s">
        <v>41</v>
      </c>
      <c r="B40" s="0" t="n">
        <v>2</v>
      </c>
      <c r="C40" s="0" t="n">
        <v>3</v>
      </c>
      <c r="D40" s="0" t="n">
        <v>3</v>
      </c>
      <c r="E40" s="0" t="n">
        <v>3</v>
      </c>
      <c r="F40" s="0" t="n">
        <v>3</v>
      </c>
      <c r="G40" s="0" t="n">
        <v>2</v>
      </c>
      <c r="H40" s="0" t="n">
        <v>2</v>
      </c>
      <c r="I40" s="0" t="n">
        <v>4</v>
      </c>
      <c r="J40" s="0" t="n">
        <v>4</v>
      </c>
      <c r="K40" s="0" t="n">
        <v>1</v>
      </c>
      <c r="L40" s="0" t="n">
        <v>2</v>
      </c>
      <c r="M40" s="0" t="n">
        <v>4</v>
      </c>
      <c r="N40" s="0" t="n">
        <v>3</v>
      </c>
      <c r="O40" s="0" t="n">
        <v>3</v>
      </c>
      <c r="P40" s="0" t="n">
        <v>4</v>
      </c>
      <c r="Q40" s="0" t="n">
        <v>3</v>
      </c>
      <c r="R40" s="0" t="n">
        <v>4</v>
      </c>
      <c r="S40" s="0" t="n">
        <v>2</v>
      </c>
      <c r="T40" s="0" t="n">
        <v>4</v>
      </c>
      <c r="U40" s="0" t="n">
        <v>3</v>
      </c>
      <c r="V40" s="0" t="n">
        <v>3</v>
      </c>
      <c r="W40" s="0" t="n">
        <v>3</v>
      </c>
      <c r="X40" s="0" t="n">
        <v>3</v>
      </c>
      <c r="Y40" s="0" t="n">
        <v>4</v>
      </c>
      <c r="Z40" s="0" t="n">
        <v>2</v>
      </c>
      <c r="AA40" s="0" t="n">
        <v>2</v>
      </c>
      <c r="AB40" s="0" t="n">
        <v>2</v>
      </c>
      <c r="AC40" s="0" t="n">
        <v>2</v>
      </c>
      <c r="AD40" s="0" t="n">
        <v>3</v>
      </c>
      <c r="AE40" s="0" t="n">
        <v>2</v>
      </c>
      <c r="AF40" s="0" t="n">
        <v>2</v>
      </c>
      <c r="AG40" s="0" t="n">
        <v>2</v>
      </c>
      <c r="AI40" s="0" t="n">
        <f aca="false">AVERAGE(B40:AG40)</f>
        <v>2.78125</v>
      </c>
      <c r="AJ40" s="0" t="n">
        <f aca="false">STDEVP(B40:AG40)</f>
        <v>0.819083901380072</v>
      </c>
      <c r="AK40" s="0" t="n">
        <f aca="false">1.96*AJ40/SQRT(32)</f>
        <v>0.283798092703025</v>
      </c>
    </row>
    <row r="41" customFormat="false" ht="15" hidden="false" customHeight="false" outlineLevel="0" collapsed="false">
      <c r="A41" s="0" t="s">
        <v>42</v>
      </c>
      <c r="B41" s="0" t="n">
        <v>1</v>
      </c>
      <c r="C41" s="0" t="n">
        <v>1</v>
      </c>
      <c r="D41" s="0" t="n">
        <v>1</v>
      </c>
      <c r="E41" s="0" t="n">
        <v>2</v>
      </c>
      <c r="F41" s="0" t="n">
        <v>2</v>
      </c>
      <c r="G41" s="0" t="n">
        <v>2</v>
      </c>
      <c r="H41" s="0" t="n">
        <v>1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2</v>
      </c>
      <c r="N41" s="0" t="n">
        <v>2</v>
      </c>
      <c r="O41" s="0" t="n">
        <v>2</v>
      </c>
      <c r="P41" s="0" t="n">
        <v>2</v>
      </c>
      <c r="Q41" s="0" t="n">
        <v>1</v>
      </c>
      <c r="R41" s="0" t="n">
        <v>3</v>
      </c>
      <c r="S41" s="0" t="n">
        <v>1</v>
      </c>
      <c r="T41" s="0" t="n">
        <v>3</v>
      </c>
      <c r="U41" s="0" t="n">
        <v>2</v>
      </c>
      <c r="V41" s="0" t="n">
        <v>3</v>
      </c>
      <c r="W41" s="0" t="n">
        <v>2</v>
      </c>
      <c r="X41" s="0" t="n">
        <v>2</v>
      </c>
      <c r="Y41" s="0" t="n">
        <v>3</v>
      </c>
      <c r="Z41" s="0" t="n">
        <v>2</v>
      </c>
      <c r="AA41" s="0" t="n">
        <v>3</v>
      </c>
      <c r="AB41" s="0" t="n">
        <v>2</v>
      </c>
      <c r="AC41" s="0" t="n">
        <v>2</v>
      </c>
      <c r="AD41" s="0" t="n">
        <v>2</v>
      </c>
      <c r="AE41" s="0" t="n">
        <v>2</v>
      </c>
      <c r="AF41" s="0" t="n">
        <v>1</v>
      </c>
      <c r="AG41" s="0" t="n">
        <v>2</v>
      </c>
      <c r="AI41" s="0" t="n">
        <f aca="false">AVERAGE(B41:AG41)</f>
        <v>1.875</v>
      </c>
      <c r="AJ41" s="0" t="n">
        <f aca="false">STDEVP(B41:AG41)</f>
        <v>0.695970545353753</v>
      </c>
      <c r="AK41" s="0" t="n">
        <f aca="false">1.96*AJ41/SQRT(32)</f>
        <v>0.241141491141612</v>
      </c>
    </row>
    <row r="42" customFormat="false" ht="15" hidden="false" customHeight="false" outlineLevel="0" collapsed="false">
      <c r="A42" s="0" t="s">
        <v>43</v>
      </c>
      <c r="B42" s="0" t="n">
        <v>2</v>
      </c>
      <c r="C42" s="0" t="n">
        <v>1</v>
      </c>
      <c r="D42" s="0" t="n">
        <v>3</v>
      </c>
      <c r="E42" s="0" t="n">
        <v>1</v>
      </c>
      <c r="F42" s="0" t="n">
        <v>2</v>
      </c>
      <c r="G42" s="0" t="n">
        <v>2</v>
      </c>
      <c r="H42" s="0" t="n">
        <v>2</v>
      </c>
      <c r="I42" s="0" t="n">
        <v>2</v>
      </c>
      <c r="J42" s="0" t="n">
        <v>3</v>
      </c>
      <c r="K42" s="0" t="n">
        <v>1</v>
      </c>
      <c r="L42" s="0" t="n">
        <v>1</v>
      </c>
      <c r="M42" s="0" t="n">
        <v>2</v>
      </c>
      <c r="N42" s="0" t="n">
        <v>2</v>
      </c>
      <c r="O42" s="0" t="n">
        <v>2</v>
      </c>
      <c r="P42" s="0" t="n">
        <v>2</v>
      </c>
      <c r="Q42" s="0" t="n">
        <v>2</v>
      </c>
      <c r="R42" s="0" t="n">
        <v>4</v>
      </c>
      <c r="S42" s="0" t="n">
        <v>1</v>
      </c>
      <c r="T42" s="0" t="n">
        <v>3</v>
      </c>
      <c r="U42" s="0" t="n">
        <v>2</v>
      </c>
      <c r="V42" s="0" t="n">
        <v>2</v>
      </c>
      <c r="W42" s="0" t="n">
        <v>2</v>
      </c>
      <c r="X42" s="0" t="n">
        <v>2</v>
      </c>
      <c r="Y42" s="0" t="n">
        <v>1</v>
      </c>
      <c r="Z42" s="0" t="n">
        <v>2</v>
      </c>
      <c r="AA42" s="0" t="n">
        <v>2</v>
      </c>
      <c r="AB42" s="0" t="n">
        <v>2</v>
      </c>
      <c r="AC42" s="0" t="n">
        <v>2</v>
      </c>
      <c r="AD42" s="0" t="n">
        <v>2</v>
      </c>
      <c r="AE42" s="0" t="n">
        <v>2</v>
      </c>
      <c r="AF42" s="0" t="n">
        <v>1</v>
      </c>
      <c r="AG42" s="0" t="n">
        <v>3</v>
      </c>
      <c r="AI42" s="0" t="n">
        <f aca="false">AVERAGE(B42:AG42)</f>
        <v>1.96875</v>
      </c>
      <c r="AJ42" s="0" t="n">
        <f aca="false">STDEVP(B42:AG42)</f>
        <v>0.683939644632478</v>
      </c>
      <c r="AK42" s="0" t="n">
        <f aca="false">1.96*AJ42/SQRT(32)</f>
        <v>0.236972996714552</v>
      </c>
    </row>
    <row r="43" customFormat="false" ht="15" hidden="false" customHeight="false" outlineLevel="0" collapsed="false">
      <c r="A43" s="0" t="s">
        <v>44</v>
      </c>
      <c r="B43" s="0" t="n">
        <v>2</v>
      </c>
      <c r="C43" s="0" t="n">
        <v>3</v>
      </c>
      <c r="D43" s="0" t="n">
        <v>3</v>
      </c>
      <c r="E43" s="0" t="n">
        <v>2</v>
      </c>
      <c r="F43" s="0" t="n">
        <v>3</v>
      </c>
      <c r="G43" s="0" t="n">
        <v>3</v>
      </c>
      <c r="H43" s="0" t="n">
        <v>2</v>
      </c>
      <c r="I43" s="0" t="n">
        <v>4</v>
      </c>
      <c r="J43" s="0" t="n">
        <v>3</v>
      </c>
      <c r="K43" s="0" t="n">
        <v>1</v>
      </c>
      <c r="L43" s="0" t="n">
        <v>3</v>
      </c>
      <c r="M43" s="0" t="n">
        <v>3</v>
      </c>
      <c r="N43" s="0" t="n">
        <v>3</v>
      </c>
      <c r="O43" s="0" t="n">
        <v>3</v>
      </c>
      <c r="P43" s="0" t="n">
        <v>3</v>
      </c>
      <c r="Q43" s="0" t="n">
        <v>3</v>
      </c>
      <c r="R43" s="0" t="n">
        <v>4</v>
      </c>
      <c r="S43" s="0" t="n">
        <v>3</v>
      </c>
      <c r="T43" s="0" t="n">
        <v>3</v>
      </c>
      <c r="U43" s="0" t="n">
        <v>2</v>
      </c>
      <c r="V43" s="0" t="n">
        <v>3</v>
      </c>
      <c r="W43" s="0" t="n">
        <v>2</v>
      </c>
      <c r="X43" s="0" t="n">
        <v>3</v>
      </c>
      <c r="Y43" s="0" t="n">
        <v>3</v>
      </c>
      <c r="Z43" s="0" t="n">
        <v>3</v>
      </c>
      <c r="AA43" s="0" t="n">
        <v>2</v>
      </c>
      <c r="AB43" s="0" t="n">
        <v>2</v>
      </c>
      <c r="AC43" s="0" t="n">
        <v>4</v>
      </c>
      <c r="AD43" s="0" t="n">
        <v>3</v>
      </c>
      <c r="AE43" s="0" t="n">
        <v>2</v>
      </c>
      <c r="AF43" s="0" t="n">
        <v>2</v>
      </c>
      <c r="AG43" s="0" t="n">
        <v>3</v>
      </c>
      <c r="AI43" s="0" t="n">
        <f aca="false">AVERAGE(B43:AG43)</f>
        <v>2.75</v>
      </c>
      <c r="AJ43" s="0" t="n">
        <f aca="false">STDEVP(B43:AG43)</f>
        <v>0.661437827766148</v>
      </c>
      <c r="AK43" s="0" t="n">
        <f aca="false">1.96*AJ43/SQRT(32)</f>
        <v>0.229176514939904</v>
      </c>
    </row>
    <row r="44" customFormat="false" ht="15" hidden="false" customHeight="false" outlineLevel="0" collapsed="false">
      <c r="A44" s="0" t="s">
        <v>45</v>
      </c>
      <c r="B44" s="0" t="n">
        <v>2</v>
      </c>
      <c r="C44" s="0" t="n">
        <v>4</v>
      </c>
      <c r="D44" s="0" t="n">
        <v>2</v>
      </c>
      <c r="E44" s="0" t="n">
        <v>3</v>
      </c>
      <c r="F44" s="0" t="n">
        <v>3</v>
      </c>
      <c r="G44" s="0" t="n">
        <v>2</v>
      </c>
      <c r="H44" s="0" t="n">
        <v>2</v>
      </c>
      <c r="I44" s="0" t="n">
        <v>4</v>
      </c>
      <c r="J44" s="0" t="n">
        <v>3</v>
      </c>
      <c r="K44" s="0" t="n">
        <v>1</v>
      </c>
      <c r="L44" s="0" t="n">
        <v>2</v>
      </c>
      <c r="M44" s="0" t="n">
        <v>2</v>
      </c>
      <c r="N44" s="0" t="n">
        <v>3</v>
      </c>
      <c r="O44" s="0" t="n">
        <v>3</v>
      </c>
      <c r="P44" s="0" t="n">
        <v>3</v>
      </c>
      <c r="Q44" s="0" t="n">
        <v>3</v>
      </c>
      <c r="R44" s="0" t="n">
        <v>4</v>
      </c>
      <c r="S44" s="0" t="n">
        <v>1</v>
      </c>
      <c r="T44" s="0" t="n">
        <v>4</v>
      </c>
      <c r="U44" s="0" t="n">
        <v>2</v>
      </c>
      <c r="V44" s="0" t="n">
        <v>3</v>
      </c>
      <c r="W44" s="0" t="n">
        <v>4</v>
      </c>
      <c r="X44" s="0" t="n">
        <v>2</v>
      </c>
      <c r="Y44" s="0" t="n">
        <v>3</v>
      </c>
      <c r="Z44" s="0" t="n">
        <v>3</v>
      </c>
      <c r="AA44" s="0" t="n">
        <v>4</v>
      </c>
      <c r="AB44" s="0" t="n">
        <v>2</v>
      </c>
      <c r="AC44" s="0" t="n">
        <v>3</v>
      </c>
      <c r="AD44" s="0" t="n">
        <v>3</v>
      </c>
      <c r="AE44" s="0" t="n">
        <v>2</v>
      </c>
      <c r="AF44" s="0" t="n">
        <v>2</v>
      </c>
      <c r="AG44" s="0" t="n">
        <v>3</v>
      </c>
      <c r="AI44" s="0" t="n">
        <f aca="false">AVERAGE(B44:AG44)</f>
        <v>2.71875</v>
      </c>
      <c r="AJ44" s="0" t="n">
        <f aca="false">STDEVP(B44:AG44)</f>
        <v>0.837942979861995</v>
      </c>
      <c r="AK44" s="0" t="n">
        <f aca="false">1.96*AJ44/SQRT(32)</f>
        <v>0.290332430020959</v>
      </c>
    </row>
    <row r="45" customFormat="false" ht="15" hidden="false" customHeight="false" outlineLevel="0" collapsed="false">
      <c r="A45" s="0" t="s">
        <v>46</v>
      </c>
      <c r="B45" s="0" t="n">
        <v>1</v>
      </c>
      <c r="C45" s="0" t="n">
        <v>1</v>
      </c>
      <c r="D45" s="0" t="n">
        <v>1</v>
      </c>
      <c r="E45" s="0" t="n">
        <v>2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3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2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2</v>
      </c>
      <c r="Z45" s="0" t="n">
        <v>2</v>
      </c>
      <c r="AA45" s="0" t="n">
        <v>1</v>
      </c>
      <c r="AB45" s="0" t="n">
        <v>1</v>
      </c>
      <c r="AC45" s="0" t="n">
        <v>2</v>
      </c>
      <c r="AD45" s="0" t="n">
        <v>1</v>
      </c>
      <c r="AE45" s="0" t="n">
        <v>1</v>
      </c>
      <c r="AF45" s="0" t="n">
        <v>1</v>
      </c>
      <c r="AG45" s="0" t="n">
        <v>2</v>
      </c>
      <c r="AI45" s="0" t="n">
        <f aca="false">AVERAGE(B45:AG45)</f>
        <v>1.28125</v>
      </c>
      <c r="AJ45" s="0" t="n">
        <f aca="false">STDEVP(B45:AG45)</f>
        <v>0.514439926036073</v>
      </c>
      <c r="AK45" s="0" t="n">
        <f aca="false">1.96*AJ45/SQRT(32)</f>
        <v>0.178244340504474</v>
      </c>
    </row>
    <row r="46" customFormat="false" ht="15" hidden="false" customHeight="false" outlineLevel="0" collapsed="false">
      <c r="A46" s="0" t="s">
        <v>47</v>
      </c>
      <c r="B46" s="0" t="n">
        <v>1</v>
      </c>
      <c r="C46" s="0" t="n">
        <v>1</v>
      </c>
      <c r="D46" s="0" t="n">
        <v>2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2</v>
      </c>
      <c r="Q46" s="0" t="n">
        <v>1</v>
      </c>
      <c r="R46" s="0" t="n">
        <v>2</v>
      </c>
      <c r="S46" s="0" t="n">
        <v>1</v>
      </c>
      <c r="T46" s="0" t="n">
        <v>2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2</v>
      </c>
      <c r="Z46" s="0" t="n">
        <v>2</v>
      </c>
      <c r="AA46" s="0" t="n">
        <v>2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I46" s="0" t="n">
        <f aca="false">AVERAGE(B46:AG46)</f>
        <v>1.25</v>
      </c>
      <c r="AJ46" s="0" t="n">
        <f aca="false">STDEVP(B46:AG46)</f>
        <v>0.433012701892219</v>
      </c>
      <c r="AK46" s="0" t="n">
        <f aca="false">1.96*AJ46/SQRT(32)</f>
        <v>0.15003124674547</v>
      </c>
    </row>
    <row r="47" customFormat="false" ht="15" hidden="false" customHeight="false" outlineLevel="0" collapsed="false">
      <c r="A47" s="0" t="s">
        <v>48</v>
      </c>
      <c r="B47" s="0" t="n">
        <v>1</v>
      </c>
      <c r="C47" s="0" t="n">
        <v>2</v>
      </c>
      <c r="D47" s="0" t="n">
        <v>1</v>
      </c>
      <c r="E47" s="0" t="n">
        <v>2</v>
      </c>
      <c r="F47" s="0" t="n">
        <v>1</v>
      </c>
      <c r="G47" s="0" t="n">
        <v>2</v>
      </c>
      <c r="H47" s="0" t="n">
        <v>1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3</v>
      </c>
      <c r="N47" s="0" t="n">
        <v>1</v>
      </c>
      <c r="O47" s="0" t="n">
        <v>2</v>
      </c>
      <c r="P47" s="0" t="n">
        <v>3</v>
      </c>
      <c r="Q47" s="0" t="n">
        <v>2</v>
      </c>
      <c r="R47" s="0" t="n">
        <v>2</v>
      </c>
      <c r="S47" s="0" t="n">
        <v>2</v>
      </c>
      <c r="T47" s="0" t="n">
        <v>1</v>
      </c>
      <c r="U47" s="0" t="n">
        <v>1</v>
      </c>
      <c r="V47" s="0" t="n">
        <v>2</v>
      </c>
      <c r="W47" s="0" t="n">
        <v>2</v>
      </c>
      <c r="X47" s="0" t="n">
        <v>1</v>
      </c>
      <c r="Y47" s="0" t="n">
        <v>1</v>
      </c>
      <c r="Z47" s="0" t="n">
        <v>2</v>
      </c>
      <c r="AA47" s="0" t="n">
        <v>2</v>
      </c>
      <c r="AB47" s="0" t="n">
        <v>1</v>
      </c>
      <c r="AC47" s="0" t="n">
        <v>2</v>
      </c>
      <c r="AD47" s="0" t="n">
        <v>2</v>
      </c>
      <c r="AE47" s="0" t="n">
        <v>2</v>
      </c>
      <c r="AF47" s="0" t="n">
        <v>2</v>
      </c>
      <c r="AG47" s="0" t="n">
        <v>2</v>
      </c>
      <c r="AI47" s="0" t="n">
        <f aca="false">AVERAGE(B47:AG47)</f>
        <v>1.6875</v>
      </c>
      <c r="AJ47" s="0" t="n">
        <f aca="false">STDEVP(B47:AG47)</f>
        <v>0.582961190818051</v>
      </c>
      <c r="AK47" s="0" t="n">
        <f aca="false">1.96*AJ47/SQRT(32)</f>
        <v>0.201985747486054</v>
      </c>
    </row>
    <row r="48" customFormat="false" ht="15" hidden="false" customHeight="false" outlineLevel="0" collapsed="false">
      <c r="A48" s="0" t="s">
        <v>49</v>
      </c>
      <c r="B48" s="0" t="n">
        <v>1</v>
      </c>
      <c r="C48" s="0" t="n">
        <v>2</v>
      </c>
      <c r="D48" s="0" t="n">
        <v>1</v>
      </c>
      <c r="E48" s="0" t="n">
        <v>2</v>
      </c>
      <c r="F48" s="0" t="n">
        <v>1</v>
      </c>
      <c r="G48" s="0" t="n">
        <v>2</v>
      </c>
      <c r="H48" s="0" t="n">
        <v>1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2</v>
      </c>
      <c r="N48" s="0" t="n">
        <v>3</v>
      </c>
      <c r="O48" s="0" t="n">
        <v>1</v>
      </c>
      <c r="P48" s="0" t="n">
        <v>2</v>
      </c>
      <c r="Q48" s="0" t="n">
        <v>1</v>
      </c>
      <c r="R48" s="0" t="n">
        <v>2</v>
      </c>
      <c r="S48" s="0" t="n">
        <v>1</v>
      </c>
      <c r="T48" s="0" t="n">
        <v>2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1</v>
      </c>
      <c r="AA48" s="0" t="n">
        <v>1</v>
      </c>
      <c r="AB48" s="0" t="n">
        <v>1</v>
      </c>
      <c r="AC48" s="0" t="n">
        <v>2</v>
      </c>
      <c r="AD48" s="0" t="n">
        <v>2</v>
      </c>
      <c r="AE48" s="0" t="n">
        <v>2</v>
      </c>
      <c r="AF48" s="0" t="n">
        <v>1</v>
      </c>
      <c r="AG48" s="0" t="n">
        <v>2</v>
      </c>
      <c r="AI48" s="0" t="n">
        <f aca="false">AVERAGE(B48:AG48)</f>
        <v>1.5</v>
      </c>
      <c r="AJ48" s="0" t="n">
        <f aca="false">STDEVP(B48:AG48)</f>
        <v>0.559016994374948</v>
      </c>
      <c r="AK48" s="0" t="n">
        <f aca="false">1.96*AJ48/SQRT(32)</f>
        <v>0.193689506685313</v>
      </c>
    </row>
    <row r="49" customFormat="false" ht="15" hidden="false" customHeight="false" outlineLevel="0" collapsed="false">
      <c r="A49" s="0" t="s">
        <v>50</v>
      </c>
      <c r="B49" s="0" t="n">
        <v>2</v>
      </c>
      <c r="C49" s="0" t="n">
        <v>2</v>
      </c>
      <c r="D49" s="0" t="n">
        <v>2</v>
      </c>
      <c r="E49" s="0" t="n">
        <v>2</v>
      </c>
      <c r="F49" s="0" t="n">
        <v>2</v>
      </c>
      <c r="G49" s="0" t="n">
        <v>1</v>
      </c>
      <c r="H49" s="0" t="n">
        <v>1</v>
      </c>
      <c r="I49" s="0" t="n">
        <v>3</v>
      </c>
      <c r="J49" s="0" t="n">
        <v>2</v>
      </c>
      <c r="K49" s="0" t="n">
        <v>1</v>
      </c>
      <c r="L49" s="0" t="n">
        <v>2</v>
      </c>
      <c r="M49" s="0" t="n">
        <v>2</v>
      </c>
      <c r="N49" s="0" t="n">
        <v>2</v>
      </c>
      <c r="O49" s="0" t="n">
        <v>3</v>
      </c>
      <c r="P49" s="0" t="n">
        <v>2</v>
      </c>
      <c r="Q49" s="0" t="n">
        <v>2</v>
      </c>
      <c r="R49" s="0" t="n">
        <v>3</v>
      </c>
      <c r="S49" s="0" t="n">
        <v>1</v>
      </c>
      <c r="T49" s="0" t="n">
        <v>3</v>
      </c>
      <c r="U49" s="0" t="n">
        <v>2</v>
      </c>
      <c r="V49" s="0" t="n">
        <v>2</v>
      </c>
      <c r="W49" s="0" t="n">
        <v>1</v>
      </c>
      <c r="X49" s="0" t="n">
        <v>2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3</v>
      </c>
      <c r="AD49" s="0" t="n">
        <v>2</v>
      </c>
      <c r="AE49" s="0" t="n">
        <v>2</v>
      </c>
      <c r="AF49" s="0" t="n">
        <v>2</v>
      </c>
      <c r="AG49" s="0" t="n">
        <v>3</v>
      </c>
      <c r="AI49" s="0" t="n">
        <f aca="false">AVERAGE(B49:AG49)</f>
        <v>1.96875</v>
      </c>
      <c r="AJ49" s="0" t="n">
        <f aca="false">STDEVP(B49:AG49)</f>
        <v>0.63661089960823</v>
      </c>
      <c r="AK49" s="0" t="n">
        <f aca="false">1.96*AJ49/SQRT(32)</f>
        <v>0.220574423204221</v>
      </c>
    </row>
    <row r="50" customFormat="false" ht="15" hidden="false" customHeight="false" outlineLevel="0" collapsed="false">
      <c r="A50" s="0" t="s">
        <v>51</v>
      </c>
      <c r="B50" s="0" t="n">
        <v>2</v>
      </c>
      <c r="C50" s="0" t="n">
        <v>2</v>
      </c>
      <c r="D50" s="0" t="n">
        <v>1</v>
      </c>
      <c r="E50" s="0" t="n">
        <v>2</v>
      </c>
      <c r="F50" s="0" t="n">
        <v>2</v>
      </c>
      <c r="G50" s="0" t="n">
        <v>2</v>
      </c>
      <c r="H50" s="0" t="n">
        <v>2</v>
      </c>
      <c r="I50" s="0" t="n">
        <v>3</v>
      </c>
      <c r="J50" s="0" t="n">
        <v>2</v>
      </c>
      <c r="K50" s="0" t="n">
        <v>1</v>
      </c>
      <c r="L50" s="0" t="n">
        <v>1</v>
      </c>
      <c r="M50" s="0" t="n">
        <v>2</v>
      </c>
      <c r="N50" s="0" t="n">
        <v>2</v>
      </c>
      <c r="O50" s="0" t="n">
        <v>2</v>
      </c>
      <c r="P50" s="0" t="n">
        <v>3</v>
      </c>
      <c r="Q50" s="0" t="n">
        <v>1</v>
      </c>
      <c r="R50" s="0" t="n">
        <v>3</v>
      </c>
      <c r="S50" s="0" t="n">
        <v>1</v>
      </c>
      <c r="T50" s="0" t="n">
        <v>2</v>
      </c>
      <c r="U50" s="0" t="n">
        <v>2</v>
      </c>
      <c r="V50" s="0" t="n">
        <v>3</v>
      </c>
      <c r="W50" s="0" t="n">
        <v>1</v>
      </c>
      <c r="X50" s="0" t="n">
        <v>2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2</v>
      </c>
      <c r="AD50" s="0" t="n">
        <v>2</v>
      </c>
      <c r="AE50" s="0" t="n">
        <v>2</v>
      </c>
      <c r="AF50" s="0" t="n">
        <v>1</v>
      </c>
      <c r="AG50" s="0" t="n">
        <v>3</v>
      </c>
      <c r="AI50" s="0" t="n">
        <f aca="false">AVERAGE(B50:AG50)</f>
        <v>1.90625</v>
      </c>
      <c r="AJ50" s="0" t="n">
        <f aca="false">STDEVP(B50:AG50)</f>
        <v>0.630445031307251</v>
      </c>
      <c r="AK50" s="0" t="n">
        <f aca="false">1.96*AJ50/SQRT(32)</f>
        <v>0.218438058833334</v>
      </c>
    </row>
    <row r="51" customFormat="false" ht="15" hidden="false" customHeight="false" outlineLevel="0" collapsed="false">
      <c r="A51" s="0" t="s">
        <v>52</v>
      </c>
      <c r="B51" s="0" t="n">
        <v>2</v>
      </c>
      <c r="C51" s="0" t="n">
        <v>2</v>
      </c>
      <c r="D51" s="0" t="n">
        <v>2</v>
      </c>
      <c r="E51" s="0" t="n">
        <v>3</v>
      </c>
      <c r="F51" s="0" t="n">
        <v>3</v>
      </c>
      <c r="G51" s="0" t="n">
        <v>2</v>
      </c>
      <c r="H51" s="0" t="n">
        <v>2</v>
      </c>
      <c r="I51" s="0" t="n">
        <v>4</v>
      </c>
      <c r="J51" s="0" t="n">
        <v>2</v>
      </c>
      <c r="K51" s="0" t="n">
        <v>1</v>
      </c>
      <c r="L51" s="0" t="n">
        <v>3</v>
      </c>
      <c r="M51" s="0" t="n">
        <v>3</v>
      </c>
      <c r="N51" s="0" t="n">
        <v>2</v>
      </c>
      <c r="O51" s="0" t="n">
        <v>2</v>
      </c>
      <c r="P51" s="0" t="n">
        <v>3</v>
      </c>
      <c r="Q51" s="0" t="n">
        <v>1</v>
      </c>
      <c r="R51" s="0" t="n">
        <v>3</v>
      </c>
      <c r="S51" s="0" t="n">
        <v>1</v>
      </c>
      <c r="T51" s="0" t="n">
        <v>2</v>
      </c>
      <c r="U51" s="0" t="n">
        <v>2</v>
      </c>
      <c r="V51" s="0" t="n">
        <v>3</v>
      </c>
      <c r="W51" s="0" t="n">
        <v>2</v>
      </c>
      <c r="X51" s="0" t="n">
        <v>3</v>
      </c>
      <c r="Y51" s="0" t="n">
        <v>1</v>
      </c>
      <c r="Z51" s="0" t="n">
        <v>2</v>
      </c>
      <c r="AA51" s="0" t="n">
        <v>3</v>
      </c>
      <c r="AB51" s="0" t="n">
        <v>2</v>
      </c>
      <c r="AC51" s="0" t="n">
        <v>3</v>
      </c>
      <c r="AD51" s="0" t="n">
        <v>3</v>
      </c>
      <c r="AE51" s="0" t="n">
        <v>3</v>
      </c>
      <c r="AF51" s="0" t="n">
        <v>2</v>
      </c>
      <c r="AG51" s="0" t="n">
        <v>3</v>
      </c>
      <c r="AI51" s="0" t="n">
        <f aca="false">AVERAGE(B51:AG51)</f>
        <v>2.34375</v>
      </c>
      <c r="AJ51" s="0" t="n">
        <f aca="false">STDEVP(B51:AG51)</f>
        <v>0.733543412144094</v>
      </c>
      <c r="AK51" s="0" t="n">
        <f aca="false">1.96*AJ51/SQRT(32)</f>
        <v>0.254159825300686</v>
      </c>
    </row>
    <row r="52" customFormat="false" ht="15" hidden="false" customHeight="false" outlineLevel="0" collapsed="false">
      <c r="A52" s="0" t="s">
        <v>53</v>
      </c>
      <c r="B52" s="0" t="n">
        <v>2</v>
      </c>
      <c r="C52" s="0" t="n">
        <v>2</v>
      </c>
      <c r="D52" s="0" t="n">
        <v>2</v>
      </c>
      <c r="E52" s="0" t="n">
        <v>2</v>
      </c>
      <c r="F52" s="0" t="n">
        <v>3</v>
      </c>
      <c r="G52" s="0" t="n">
        <v>3</v>
      </c>
      <c r="H52" s="0" t="n">
        <v>2</v>
      </c>
      <c r="I52" s="0" t="n">
        <v>3</v>
      </c>
      <c r="J52" s="0" t="n">
        <v>2</v>
      </c>
      <c r="K52" s="0" t="n">
        <v>2</v>
      </c>
      <c r="L52" s="0" t="n">
        <v>1</v>
      </c>
      <c r="M52" s="0" t="n">
        <v>3</v>
      </c>
      <c r="N52" s="0" t="n">
        <v>3</v>
      </c>
      <c r="O52" s="0" t="n">
        <v>2</v>
      </c>
      <c r="P52" s="0" t="n">
        <v>3</v>
      </c>
      <c r="Q52" s="0" t="n">
        <v>1</v>
      </c>
      <c r="R52" s="0" t="n">
        <v>3</v>
      </c>
      <c r="S52" s="0" t="n">
        <v>1</v>
      </c>
      <c r="T52" s="0" t="n">
        <v>4</v>
      </c>
      <c r="U52" s="0" t="n">
        <v>2</v>
      </c>
      <c r="V52" s="0" t="n">
        <v>3</v>
      </c>
      <c r="W52" s="0" t="n">
        <v>2</v>
      </c>
      <c r="X52" s="0" t="n">
        <v>3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2</v>
      </c>
      <c r="AD52" s="0" t="n">
        <v>3</v>
      </c>
      <c r="AE52" s="0" t="n">
        <v>2</v>
      </c>
      <c r="AF52" s="0" t="n">
        <v>2</v>
      </c>
      <c r="AG52" s="0" t="n">
        <v>3</v>
      </c>
      <c r="AI52" s="0" t="n">
        <f aca="false">AVERAGE(B52:AG52)</f>
        <v>2.28125</v>
      </c>
      <c r="AJ52" s="0" t="n">
        <f aca="false">STDEVP(B52:AG52)</f>
        <v>0.717390017703062</v>
      </c>
      <c r="AK52" s="0" t="n">
        <f aca="false">1.96*AJ52/SQRT(32)</f>
        <v>0.248562959673953</v>
      </c>
    </row>
    <row r="53" customFormat="false" ht="15" hidden="false" customHeight="false" outlineLevel="0" collapsed="false">
      <c r="A53" s="0" t="s">
        <v>54</v>
      </c>
      <c r="B53" s="0" t="n">
        <v>2</v>
      </c>
      <c r="C53" s="0" t="n">
        <v>2</v>
      </c>
      <c r="D53" s="0" t="n">
        <v>2</v>
      </c>
      <c r="E53" s="0" t="n">
        <v>2</v>
      </c>
      <c r="F53" s="0" t="n">
        <v>3</v>
      </c>
      <c r="G53" s="0" t="n">
        <v>2</v>
      </c>
      <c r="H53" s="0" t="n">
        <v>1</v>
      </c>
      <c r="I53" s="0" t="n">
        <v>3</v>
      </c>
      <c r="J53" s="0" t="n">
        <v>2</v>
      </c>
      <c r="K53" s="0" t="n">
        <v>1</v>
      </c>
      <c r="L53" s="0" t="n">
        <v>2</v>
      </c>
      <c r="M53" s="0" t="n">
        <v>2</v>
      </c>
      <c r="N53" s="0" t="n">
        <v>2</v>
      </c>
      <c r="O53" s="0" t="n">
        <v>2</v>
      </c>
      <c r="P53" s="0" t="n">
        <v>3</v>
      </c>
      <c r="Q53" s="0" t="n">
        <v>1</v>
      </c>
      <c r="R53" s="0" t="n">
        <v>3</v>
      </c>
      <c r="S53" s="0" t="n">
        <v>1</v>
      </c>
      <c r="T53" s="0" t="n">
        <v>2</v>
      </c>
      <c r="U53" s="0" t="n">
        <v>2</v>
      </c>
      <c r="V53" s="0" t="n">
        <v>2</v>
      </c>
      <c r="W53" s="0" t="n">
        <v>1</v>
      </c>
      <c r="X53" s="0" t="n">
        <v>2</v>
      </c>
      <c r="Y53" s="0" t="n">
        <v>1</v>
      </c>
      <c r="Z53" s="0" t="n">
        <v>2</v>
      </c>
      <c r="AA53" s="0" t="n">
        <v>2</v>
      </c>
      <c r="AB53" s="0" t="n">
        <v>1</v>
      </c>
      <c r="AC53" s="0" t="n">
        <v>2</v>
      </c>
      <c r="AD53" s="0" t="n">
        <v>3</v>
      </c>
      <c r="AE53" s="0" t="n">
        <v>2</v>
      </c>
      <c r="AF53" s="0" t="n">
        <v>1</v>
      </c>
      <c r="AG53" s="0" t="n">
        <v>2</v>
      </c>
      <c r="AI53" s="0" t="n">
        <f aca="false">AVERAGE(B53:AG53)</f>
        <v>1.90625</v>
      </c>
      <c r="AJ53" s="0" t="n">
        <f aca="false">STDEVP(B53:AG53)</f>
        <v>0.630445031307251</v>
      </c>
      <c r="AK53" s="0" t="n">
        <f aca="false">1.96*AJ53/SQRT(32)</f>
        <v>0.218438058833334</v>
      </c>
    </row>
    <row r="54" customFormat="false" ht="15" hidden="false" customHeight="false" outlineLevel="0" collapsed="false">
      <c r="A54" s="0" t="s">
        <v>55</v>
      </c>
      <c r="B54" s="0" t="n">
        <v>2</v>
      </c>
      <c r="C54" s="0" t="n">
        <v>1</v>
      </c>
      <c r="D54" s="0" t="n">
        <v>2</v>
      </c>
      <c r="E54" s="0" t="n">
        <v>2</v>
      </c>
      <c r="F54" s="0" t="n">
        <v>2</v>
      </c>
      <c r="G54" s="0" t="n">
        <v>2</v>
      </c>
      <c r="H54" s="0" t="n">
        <v>1</v>
      </c>
      <c r="I54" s="0" t="n">
        <v>3</v>
      </c>
      <c r="J54" s="0" t="n">
        <v>1</v>
      </c>
      <c r="K54" s="0" t="n">
        <v>2</v>
      </c>
      <c r="L54" s="0" t="n">
        <v>2</v>
      </c>
      <c r="M54" s="0" t="n">
        <v>2</v>
      </c>
      <c r="N54" s="0" t="n">
        <v>3</v>
      </c>
      <c r="O54" s="0" t="n">
        <v>2</v>
      </c>
      <c r="P54" s="0" t="n">
        <v>2</v>
      </c>
      <c r="Q54" s="0" t="n">
        <v>1</v>
      </c>
      <c r="R54" s="0" t="n">
        <v>3</v>
      </c>
      <c r="S54" s="0" t="n">
        <v>1</v>
      </c>
      <c r="T54" s="0" t="n">
        <v>2</v>
      </c>
      <c r="U54" s="0" t="n">
        <v>2</v>
      </c>
      <c r="V54" s="0" t="n">
        <v>3</v>
      </c>
      <c r="W54" s="0" t="n">
        <v>2</v>
      </c>
      <c r="X54" s="0" t="n">
        <v>2</v>
      </c>
      <c r="Y54" s="0" t="n">
        <v>1</v>
      </c>
      <c r="Z54" s="0" t="n">
        <v>2</v>
      </c>
      <c r="AA54" s="0" t="n">
        <v>2</v>
      </c>
      <c r="AB54" s="0" t="n">
        <v>2</v>
      </c>
      <c r="AC54" s="0" t="n">
        <v>2</v>
      </c>
      <c r="AD54" s="0" t="n">
        <v>2</v>
      </c>
      <c r="AE54" s="0" t="n">
        <v>2</v>
      </c>
      <c r="AF54" s="0" t="n">
        <v>1</v>
      </c>
      <c r="AG54" s="0" t="n">
        <v>2</v>
      </c>
      <c r="AI54" s="0" t="n">
        <f aca="false">AVERAGE(B54:AG54)</f>
        <v>1.90625</v>
      </c>
      <c r="AJ54" s="0" t="n">
        <f aca="false">STDEVP(B54:AG54)</f>
        <v>0.578758099295379</v>
      </c>
      <c r="AK54" s="0" t="n">
        <f aca="false">1.96*AJ54/SQRT(32)</f>
        <v>0.200529450572416</v>
      </c>
    </row>
    <row r="55" customFormat="false" ht="15" hidden="false" customHeight="false" outlineLevel="0" collapsed="false">
      <c r="A55" s="0" t="s">
        <v>56</v>
      </c>
      <c r="B55" s="0" t="n">
        <v>1</v>
      </c>
      <c r="C55" s="0" t="n">
        <v>1</v>
      </c>
      <c r="D55" s="0" t="n">
        <v>2</v>
      </c>
      <c r="E55" s="0" t="n">
        <v>2</v>
      </c>
      <c r="F55" s="0" t="n">
        <v>2</v>
      </c>
      <c r="G55" s="0" t="n">
        <v>2</v>
      </c>
      <c r="H55" s="0" t="n">
        <v>2</v>
      </c>
      <c r="I55" s="0" t="n">
        <v>3</v>
      </c>
      <c r="J55" s="0" t="n">
        <v>2</v>
      </c>
      <c r="K55" s="0" t="n">
        <v>1</v>
      </c>
      <c r="L55" s="0" t="n">
        <v>2</v>
      </c>
      <c r="M55" s="0" t="n">
        <v>3</v>
      </c>
      <c r="N55" s="0" t="n">
        <v>3</v>
      </c>
      <c r="O55" s="0" t="n">
        <v>2</v>
      </c>
      <c r="P55" s="0" t="n">
        <v>3</v>
      </c>
      <c r="Q55" s="0" t="n">
        <v>2</v>
      </c>
      <c r="R55" s="0" t="n">
        <v>3</v>
      </c>
      <c r="S55" s="0" t="n">
        <v>2</v>
      </c>
      <c r="T55" s="0" t="n">
        <v>3</v>
      </c>
      <c r="U55" s="0" t="n">
        <v>2</v>
      </c>
      <c r="V55" s="0" t="n">
        <v>3</v>
      </c>
      <c r="W55" s="0" t="n">
        <v>1</v>
      </c>
      <c r="X55" s="0" t="n">
        <v>2</v>
      </c>
      <c r="Y55" s="0" t="n">
        <v>3</v>
      </c>
      <c r="Z55" s="0" t="n">
        <v>2</v>
      </c>
      <c r="AA55" s="0" t="n">
        <v>3</v>
      </c>
      <c r="AB55" s="0" t="n">
        <v>2</v>
      </c>
      <c r="AC55" s="0" t="n">
        <v>2</v>
      </c>
      <c r="AD55" s="0" t="n">
        <v>4</v>
      </c>
      <c r="AE55" s="0" t="n">
        <v>2</v>
      </c>
      <c r="AF55" s="0" t="n">
        <v>1</v>
      </c>
      <c r="AG55" s="0" t="n">
        <v>3</v>
      </c>
      <c r="AI55" s="0" t="n">
        <f aca="false">AVERAGE(B55:AG55)</f>
        <v>2.21875</v>
      </c>
      <c r="AJ55" s="0" t="n">
        <f aca="false">STDEVP(B55:AG55)</f>
        <v>0.738849401096056</v>
      </c>
      <c r="AK55" s="0" t="n">
        <f aca="false">1.96*AJ55/SQRT(32)</f>
        <v>0.255998256677414</v>
      </c>
    </row>
    <row r="56" customFormat="false" ht="15" hidden="false" customHeight="false" outlineLevel="0" collapsed="false">
      <c r="A56" s="0" t="s">
        <v>57</v>
      </c>
      <c r="B56" s="0" t="n">
        <v>1</v>
      </c>
      <c r="C56" s="0" t="n">
        <v>2</v>
      </c>
      <c r="D56" s="0" t="n">
        <v>2</v>
      </c>
      <c r="E56" s="0" t="n">
        <v>2</v>
      </c>
      <c r="F56" s="0" t="n">
        <v>3</v>
      </c>
      <c r="G56" s="0" t="n">
        <v>3</v>
      </c>
      <c r="H56" s="0" t="n">
        <v>2</v>
      </c>
      <c r="I56" s="0" t="n">
        <v>3</v>
      </c>
      <c r="J56" s="0" t="n">
        <v>2</v>
      </c>
      <c r="K56" s="0" t="n">
        <v>1</v>
      </c>
      <c r="L56" s="0" t="n">
        <v>2</v>
      </c>
      <c r="M56" s="0" t="n">
        <v>2</v>
      </c>
      <c r="N56" s="0" t="n">
        <v>3</v>
      </c>
      <c r="O56" s="0" t="n">
        <v>2</v>
      </c>
      <c r="P56" s="0" t="n">
        <v>2</v>
      </c>
      <c r="Q56" s="0" t="n">
        <v>1</v>
      </c>
      <c r="R56" s="0" t="n">
        <v>3</v>
      </c>
      <c r="S56" s="0" t="n">
        <v>2</v>
      </c>
      <c r="T56" s="0" t="n">
        <v>3</v>
      </c>
      <c r="U56" s="0" t="n">
        <v>2</v>
      </c>
      <c r="V56" s="0" t="n">
        <v>3</v>
      </c>
      <c r="W56" s="0" t="n">
        <v>1</v>
      </c>
      <c r="X56" s="0" t="n">
        <v>3</v>
      </c>
      <c r="Y56" s="0" t="n">
        <v>1</v>
      </c>
      <c r="Z56" s="0" t="n">
        <v>3</v>
      </c>
      <c r="AA56" s="0" t="n">
        <v>2</v>
      </c>
      <c r="AB56" s="0" t="n">
        <v>1</v>
      </c>
      <c r="AC56" s="0" t="n">
        <v>2</v>
      </c>
      <c r="AD56" s="0" t="n">
        <v>2</v>
      </c>
      <c r="AE56" s="0" t="n">
        <v>2</v>
      </c>
      <c r="AF56" s="0" t="n">
        <v>1</v>
      </c>
      <c r="AG56" s="0" t="n">
        <v>2</v>
      </c>
      <c r="AI56" s="0" t="n">
        <f aca="false">AVERAGE(B56:AG56)</f>
        <v>2.0625</v>
      </c>
      <c r="AJ56" s="0" t="n">
        <f aca="false">STDEVP(B56:AG56)</f>
        <v>0.70433922934904</v>
      </c>
      <c r="AK56" s="0" t="n">
        <f aca="false">1.96*AJ56/SQRT(32)</f>
        <v>0.244041092210923</v>
      </c>
    </row>
    <row r="57" customFormat="false" ht="15" hidden="false" customHeight="false" outlineLevel="0" collapsed="false">
      <c r="A57" s="0" t="s">
        <v>58</v>
      </c>
      <c r="B57" s="0" t="n">
        <v>2</v>
      </c>
      <c r="C57" s="0" t="n">
        <v>1</v>
      </c>
      <c r="D57" s="0" t="n">
        <v>2</v>
      </c>
      <c r="E57" s="0" t="n">
        <v>2</v>
      </c>
      <c r="F57" s="0" t="n">
        <v>2</v>
      </c>
      <c r="G57" s="0" t="n">
        <v>2</v>
      </c>
      <c r="H57" s="0" t="n">
        <v>1</v>
      </c>
      <c r="I57" s="0" t="n">
        <v>3</v>
      </c>
      <c r="J57" s="0" t="n">
        <v>2</v>
      </c>
      <c r="K57" s="0" t="n">
        <v>1</v>
      </c>
      <c r="L57" s="0" t="n">
        <v>1</v>
      </c>
      <c r="M57" s="0" t="n">
        <v>2</v>
      </c>
      <c r="N57" s="0" t="n">
        <v>2</v>
      </c>
      <c r="O57" s="0" t="n">
        <v>1</v>
      </c>
      <c r="P57" s="0" t="n">
        <v>2</v>
      </c>
      <c r="Q57" s="0" t="n">
        <v>2</v>
      </c>
      <c r="R57" s="0" t="n">
        <v>3</v>
      </c>
      <c r="S57" s="0" t="n">
        <v>2</v>
      </c>
      <c r="T57" s="0" t="n">
        <v>3</v>
      </c>
      <c r="U57" s="0" t="n">
        <v>2</v>
      </c>
      <c r="V57" s="0" t="n">
        <v>2</v>
      </c>
      <c r="W57" s="0" t="n">
        <v>1</v>
      </c>
      <c r="X57" s="0" t="n">
        <v>2</v>
      </c>
      <c r="Y57" s="0" t="n">
        <v>1</v>
      </c>
      <c r="Z57" s="0" t="n">
        <v>2</v>
      </c>
      <c r="AA57" s="0" t="n">
        <v>2</v>
      </c>
      <c r="AB57" s="0" t="n">
        <v>2</v>
      </c>
      <c r="AC57" s="0" t="n">
        <v>2</v>
      </c>
      <c r="AD57" s="0" t="n">
        <v>2</v>
      </c>
      <c r="AE57" s="0" t="n">
        <v>1</v>
      </c>
      <c r="AF57" s="0" t="n">
        <v>2</v>
      </c>
      <c r="AG57" s="0" t="n">
        <v>2</v>
      </c>
      <c r="AI57" s="0" t="n">
        <f aca="false">AVERAGE(B57:AG57)</f>
        <v>1.84375</v>
      </c>
      <c r="AJ57" s="0" t="n">
        <f aca="false">STDEVP(B57:AG57)</f>
        <v>0.565098166250785</v>
      </c>
      <c r="AK57" s="0" t="n">
        <f aca="false">1.96*AJ57/SQRT(32)</f>
        <v>0.195796525242086</v>
      </c>
    </row>
    <row r="58" customFormat="false" ht="15" hidden="false" customHeight="false" outlineLevel="0" collapsed="false">
      <c r="A58" s="0" t="s">
        <v>59</v>
      </c>
      <c r="B58" s="0" t="n">
        <v>2</v>
      </c>
      <c r="C58" s="0" t="n">
        <v>1</v>
      </c>
      <c r="D58" s="0" t="n">
        <v>1</v>
      </c>
      <c r="E58" s="0" t="n">
        <v>2</v>
      </c>
      <c r="F58" s="0" t="n">
        <v>2</v>
      </c>
      <c r="G58" s="0" t="n">
        <v>2</v>
      </c>
      <c r="H58" s="0" t="n">
        <v>1</v>
      </c>
      <c r="I58" s="0" t="n">
        <v>3</v>
      </c>
      <c r="J58" s="0" t="n">
        <v>1</v>
      </c>
      <c r="K58" s="0" t="n">
        <v>1</v>
      </c>
      <c r="L58" s="0" t="n">
        <v>2</v>
      </c>
      <c r="M58" s="0" t="n">
        <v>1</v>
      </c>
      <c r="N58" s="0" t="n">
        <v>2</v>
      </c>
      <c r="O58" s="0" t="n">
        <v>2</v>
      </c>
      <c r="P58" s="0" t="n">
        <v>3</v>
      </c>
      <c r="Q58" s="0" t="n">
        <v>2</v>
      </c>
      <c r="R58" s="0" t="n">
        <v>3</v>
      </c>
      <c r="S58" s="0" t="n">
        <v>1</v>
      </c>
      <c r="T58" s="0" t="n">
        <v>2</v>
      </c>
      <c r="U58" s="0" t="n">
        <v>2</v>
      </c>
      <c r="V58" s="0" t="n">
        <v>2</v>
      </c>
      <c r="W58" s="0" t="n">
        <v>1</v>
      </c>
      <c r="X58" s="0" t="n">
        <v>3</v>
      </c>
      <c r="Y58" s="0" t="n">
        <v>1</v>
      </c>
      <c r="Z58" s="0" t="n">
        <v>2</v>
      </c>
      <c r="AA58" s="0" t="n">
        <v>2</v>
      </c>
      <c r="AB58" s="0" t="n">
        <v>1</v>
      </c>
      <c r="AC58" s="0" t="n">
        <v>2</v>
      </c>
      <c r="AD58" s="0" t="n">
        <v>2</v>
      </c>
      <c r="AE58" s="0" t="n">
        <v>2</v>
      </c>
      <c r="AF58" s="0" t="n">
        <v>1</v>
      </c>
      <c r="AG58" s="0" t="n">
        <v>3</v>
      </c>
      <c r="AI58" s="0" t="n">
        <f aca="false">AVERAGE(B58:AG58)</f>
        <v>1.8125</v>
      </c>
      <c r="AJ58" s="0" t="n">
        <f aca="false">STDEVP(B58:AG58)</f>
        <v>0.681794507164732</v>
      </c>
      <c r="AK58" s="0" t="n">
        <f aca="false">1.96*AJ58/SQRT(32)</f>
        <v>0.236229744502042</v>
      </c>
    </row>
    <row r="59" customFormat="false" ht="15" hidden="false" customHeight="false" outlineLevel="0" collapsed="false">
      <c r="A59" s="0" t="s">
        <v>60</v>
      </c>
      <c r="B59" s="0" t="n">
        <v>2</v>
      </c>
      <c r="C59" s="0" t="n">
        <v>2</v>
      </c>
      <c r="D59" s="0" t="n">
        <v>2</v>
      </c>
      <c r="E59" s="0" t="n">
        <v>2</v>
      </c>
      <c r="F59" s="0" t="n">
        <v>3</v>
      </c>
      <c r="G59" s="0" t="n">
        <v>2</v>
      </c>
      <c r="H59" s="0" t="n">
        <v>1</v>
      </c>
      <c r="I59" s="0" t="n">
        <v>3</v>
      </c>
      <c r="J59" s="0" t="n">
        <v>3</v>
      </c>
      <c r="K59" s="0" t="n">
        <v>1</v>
      </c>
      <c r="L59" s="0" t="n">
        <v>2</v>
      </c>
      <c r="M59" s="0" t="n">
        <v>3</v>
      </c>
      <c r="N59" s="0" t="n">
        <v>2</v>
      </c>
      <c r="O59" s="0" t="n">
        <v>3</v>
      </c>
      <c r="P59" s="0" t="n">
        <v>3</v>
      </c>
      <c r="Q59" s="0" t="n">
        <v>2</v>
      </c>
      <c r="R59" s="0" t="n">
        <v>3</v>
      </c>
      <c r="S59" s="0" t="n">
        <v>1</v>
      </c>
      <c r="T59" s="0" t="n">
        <v>3</v>
      </c>
      <c r="U59" s="0" t="n">
        <v>2</v>
      </c>
      <c r="V59" s="0" t="n">
        <v>3</v>
      </c>
      <c r="W59" s="0" t="n">
        <v>2</v>
      </c>
      <c r="X59" s="0" t="n">
        <v>2</v>
      </c>
      <c r="Y59" s="0" t="n">
        <v>1</v>
      </c>
      <c r="Z59" s="0" t="n">
        <v>2</v>
      </c>
      <c r="AA59" s="0" t="n">
        <v>2</v>
      </c>
      <c r="AB59" s="0" t="n">
        <v>2</v>
      </c>
      <c r="AC59" s="0" t="n">
        <v>2</v>
      </c>
      <c r="AD59" s="0" t="n">
        <v>2</v>
      </c>
      <c r="AE59" s="0" t="n">
        <v>2</v>
      </c>
      <c r="AF59" s="0" t="n">
        <v>1</v>
      </c>
      <c r="AG59" s="0" t="n">
        <v>3</v>
      </c>
      <c r="AI59" s="0" t="n">
        <f aca="false">AVERAGE(B59:AG59)</f>
        <v>2.15625</v>
      </c>
      <c r="AJ59" s="0" t="n">
        <f aca="false">STDEVP(B59:AG59)</f>
        <v>0.666585281490673</v>
      </c>
      <c r="AK59" s="0" t="n">
        <f aca="false">1.96*AJ59/SQRT(32)</f>
        <v>0.230960016662787</v>
      </c>
    </row>
    <row r="60" customFormat="false" ht="15" hidden="false" customHeight="false" outlineLevel="0" collapsed="false">
      <c r="A60" s="0" t="s">
        <v>61</v>
      </c>
      <c r="B60" s="0" t="n">
        <v>2</v>
      </c>
      <c r="C60" s="0" t="n">
        <v>2</v>
      </c>
      <c r="D60" s="0" t="n">
        <v>2</v>
      </c>
      <c r="E60" s="0" t="n">
        <v>2</v>
      </c>
      <c r="F60" s="0" t="n">
        <v>3</v>
      </c>
      <c r="G60" s="0" t="n">
        <v>3</v>
      </c>
      <c r="H60" s="0" t="n">
        <v>2</v>
      </c>
      <c r="I60" s="0" t="n">
        <v>3</v>
      </c>
      <c r="J60" s="0" t="n">
        <v>2</v>
      </c>
      <c r="K60" s="0" t="n">
        <v>1</v>
      </c>
      <c r="L60" s="0" t="n">
        <v>3</v>
      </c>
      <c r="M60" s="0" t="n">
        <v>3</v>
      </c>
      <c r="N60" s="0" t="n">
        <v>3</v>
      </c>
      <c r="O60" s="0" t="n">
        <v>3</v>
      </c>
      <c r="P60" s="0" t="n">
        <v>3</v>
      </c>
      <c r="Q60" s="0" t="n">
        <v>1</v>
      </c>
      <c r="R60" s="0" t="n">
        <v>3</v>
      </c>
      <c r="S60" s="0" t="n">
        <v>3</v>
      </c>
      <c r="T60" s="0" t="n">
        <v>3</v>
      </c>
      <c r="U60" s="0" t="n">
        <v>2</v>
      </c>
      <c r="V60" s="0" t="n">
        <v>3</v>
      </c>
      <c r="W60" s="0" t="n">
        <v>1</v>
      </c>
      <c r="X60" s="0" t="n">
        <v>3</v>
      </c>
      <c r="Y60" s="0" t="n">
        <v>1</v>
      </c>
      <c r="Z60" s="0" t="n">
        <v>2</v>
      </c>
      <c r="AA60" s="0" t="n">
        <v>2</v>
      </c>
      <c r="AB60" s="0" t="n">
        <v>3</v>
      </c>
      <c r="AC60" s="0" t="n">
        <v>2</v>
      </c>
      <c r="AD60" s="0" t="n">
        <v>3</v>
      </c>
      <c r="AE60" s="0" t="n">
        <v>2</v>
      </c>
      <c r="AF60" s="0" t="n">
        <v>1</v>
      </c>
      <c r="AG60" s="0" t="n">
        <v>2</v>
      </c>
      <c r="AI60" s="0" t="n">
        <f aca="false">AVERAGE(B60:AG60)</f>
        <v>2.3125</v>
      </c>
      <c r="AJ60" s="0" t="n">
        <f aca="false">STDEVP(B60:AG60)</f>
        <v>0.726184377413891</v>
      </c>
      <c r="AK60" s="0" t="n">
        <f aca="false">1.96*AJ60/SQRT(32)</f>
        <v>0.251610049853936</v>
      </c>
    </row>
    <row r="61" customFormat="false" ht="15" hidden="false" customHeight="false" outlineLevel="0" collapsed="false">
      <c r="A61" s="0" t="s">
        <v>62</v>
      </c>
      <c r="B61" s="0" t="n">
        <v>2</v>
      </c>
      <c r="C61" s="0" t="n">
        <v>2</v>
      </c>
      <c r="D61" s="0" t="n">
        <v>1</v>
      </c>
      <c r="E61" s="0" t="n">
        <v>2</v>
      </c>
      <c r="F61" s="0" t="n">
        <v>3</v>
      </c>
      <c r="G61" s="0" t="n">
        <v>2</v>
      </c>
      <c r="H61" s="0" t="n">
        <v>1</v>
      </c>
      <c r="I61" s="0" t="n">
        <v>3</v>
      </c>
      <c r="J61" s="0" t="n">
        <v>2</v>
      </c>
      <c r="K61" s="0" t="n">
        <v>1</v>
      </c>
      <c r="L61" s="0" t="n">
        <v>1</v>
      </c>
      <c r="M61" s="0" t="n">
        <v>2</v>
      </c>
      <c r="N61" s="0" t="n">
        <v>2</v>
      </c>
      <c r="O61" s="0" t="n">
        <v>3</v>
      </c>
      <c r="P61" s="0" t="n">
        <v>2</v>
      </c>
      <c r="Q61" s="0" t="n">
        <v>1</v>
      </c>
      <c r="R61" s="0" t="n">
        <v>3</v>
      </c>
      <c r="S61" s="0" t="n">
        <v>1</v>
      </c>
      <c r="T61" s="0" t="n">
        <v>2</v>
      </c>
      <c r="U61" s="0" t="n">
        <v>2</v>
      </c>
      <c r="V61" s="0" t="n">
        <v>2</v>
      </c>
      <c r="W61" s="0" t="n">
        <v>2</v>
      </c>
      <c r="X61" s="0" t="n">
        <v>2</v>
      </c>
      <c r="Y61" s="0" t="n">
        <v>1</v>
      </c>
      <c r="Z61" s="0" t="n">
        <v>2</v>
      </c>
      <c r="AA61" s="0" t="n">
        <v>2</v>
      </c>
      <c r="AB61" s="0" t="n">
        <v>1</v>
      </c>
      <c r="AC61" s="0" t="n">
        <v>2</v>
      </c>
      <c r="AD61" s="0" t="n">
        <v>1</v>
      </c>
      <c r="AE61" s="0" t="n">
        <v>2</v>
      </c>
      <c r="AF61" s="0" t="n">
        <v>1</v>
      </c>
      <c r="AG61" s="0" t="n">
        <v>3</v>
      </c>
      <c r="AI61" s="0" t="n">
        <f aca="false">AVERAGE(B61:AG61)</f>
        <v>1.84375</v>
      </c>
      <c r="AJ61" s="0" t="n">
        <f aca="false">STDEVP(B61:AG61)</f>
        <v>0.666585281490673</v>
      </c>
      <c r="AK61" s="0" t="n">
        <f aca="false">1.96*AJ61/SQRT(32)</f>
        <v>0.230960016662787</v>
      </c>
    </row>
    <row r="62" customFormat="false" ht="15" hidden="false" customHeight="false" outlineLevel="0" collapsed="false">
      <c r="A62" s="0" t="s">
        <v>63</v>
      </c>
      <c r="B62" s="0" t="n">
        <v>2</v>
      </c>
      <c r="C62" s="0" t="n">
        <v>1</v>
      </c>
      <c r="D62" s="0" t="n">
        <v>1</v>
      </c>
      <c r="E62" s="0" t="n">
        <v>2</v>
      </c>
      <c r="F62" s="0" t="n">
        <v>3</v>
      </c>
      <c r="G62" s="0" t="n">
        <v>3</v>
      </c>
      <c r="H62" s="0" t="n">
        <v>2</v>
      </c>
      <c r="I62" s="0" t="n">
        <v>3</v>
      </c>
      <c r="J62" s="0" t="n">
        <v>1</v>
      </c>
      <c r="K62" s="0" t="n">
        <v>1</v>
      </c>
      <c r="L62" s="0" t="n">
        <v>2</v>
      </c>
      <c r="M62" s="0" t="n">
        <v>2</v>
      </c>
      <c r="N62" s="0" t="n">
        <v>3</v>
      </c>
      <c r="O62" s="0" t="n">
        <v>3</v>
      </c>
      <c r="P62" s="0" t="n">
        <v>2</v>
      </c>
      <c r="Q62" s="0" t="n">
        <v>1</v>
      </c>
      <c r="R62" s="0" t="n">
        <v>3</v>
      </c>
      <c r="S62" s="0" t="n">
        <v>1</v>
      </c>
      <c r="T62" s="0" t="n">
        <v>3</v>
      </c>
      <c r="U62" s="0" t="n">
        <v>2</v>
      </c>
      <c r="V62" s="0" t="n">
        <v>2</v>
      </c>
      <c r="W62" s="0" t="n">
        <v>2</v>
      </c>
      <c r="X62" s="0" t="n">
        <v>2</v>
      </c>
      <c r="Y62" s="0" t="n">
        <v>3</v>
      </c>
      <c r="Z62" s="0" t="n">
        <v>2</v>
      </c>
      <c r="AA62" s="0" t="n">
        <v>2</v>
      </c>
      <c r="AB62" s="0" t="n">
        <v>2</v>
      </c>
      <c r="AC62" s="0" t="n">
        <v>2</v>
      </c>
      <c r="AD62" s="0" t="n">
        <v>1</v>
      </c>
      <c r="AE62" s="0" t="n">
        <v>2</v>
      </c>
      <c r="AF62" s="0" t="n">
        <v>1</v>
      </c>
      <c r="AG62" s="0" t="n">
        <v>3</v>
      </c>
      <c r="AI62" s="0" t="n">
        <f aca="false">AVERAGE(B62:AG62)</f>
        <v>2.03125</v>
      </c>
      <c r="AJ62" s="0" t="n">
        <f aca="false">STDEVP(B62:AG62)</f>
        <v>0.72819876235819</v>
      </c>
      <c r="AK62" s="0" t="n">
        <f aca="false">1.96*AJ62/SQRT(32)</f>
        <v>0.252307998628412</v>
      </c>
    </row>
    <row r="63" customFormat="false" ht="15" hidden="false" customHeight="false" outlineLevel="0" collapsed="false">
      <c r="A63" s="0" t="s">
        <v>64</v>
      </c>
      <c r="B63" s="0" t="n">
        <v>2</v>
      </c>
      <c r="C63" s="0" t="n">
        <v>2</v>
      </c>
      <c r="D63" s="0" t="n">
        <v>2</v>
      </c>
      <c r="E63" s="0" t="n">
        <v>2</v>
      </c>
      <c r="F63" s="0" t="n">
        <v>2</v>
      </c>
      <c r="G63" s="0" t="n">
        <v>2</v>
      </c>
      <c r="H63" s="0" t="n">
        <v>2</v>
      </c>
      <c r="I63" s="0" t="n">
        <v>3</v>
      </c>
      <c r="J63" s="0" t="n">
        <v>3</v>
      </c>
      <c r="K63" s="0" t="n">
        <v>1</v>
      </c>
      <c r="L63" s="0" t="n">
        <v>2</v>
      </c>
      <c r="M63" s="0" t="n">
        <v>3</v>
      </c>
      <c r="N63" s="0" t="n">
        <v>2</v>
      </c>
      <c r="O63" s="0" t="n">
        <v>2</v>
      </c>
      <c r="P63" s="0" t="n">
        <v>3</v>
      </c>
      <c r="Q63" s="0" t="n">
        <v>2</v>
      </c>
      <c r="R63" s="0" t="n">
        <v>3</v>
      </c>
      <c r="S63" s="0" t="n">
        <v>2</v>
      </c>
      <c r="T63" s="0" t="n">
        <v>2</v>
      </c>
      <c r="U63" s="0" t="n">
        <v>2</v>
      </c>
      <c r="V63" s="0" t="n">
        <v>3</v>
      </c>
      <c r="W63" s="0" t="n">
        <v>1</v>
      </c>
      <c r="X63" s="0" t="n">
        <v>2</v>
      </c>
      <c r="Y63" s="0" t="n">
        <v>1</v>
      </c>
      <c r="Z63" s="0" t="n">
        <v>2</v>
      </c>
      <c r="AA63" s="0" t="n">
        <v>3</v>
      </c>
      <c r="AB63" s="0" t="n">
        <v>2</v>
      </c>
      <c r="AC63" s="0" t="n">
        <v>3</v>
      </c>
      <c r="AD63" s="0" t="n">
        <v>2</v>
      </c>
      <c r="AE63" s="0" t="n">
        <v>2</v>
      </c>
      <c r="AF63" s="0" t="n">
        <v>1</v>
      </c>
      <c r="AG63" s="0" t="n">
        <v>3</v>
      </c>
      <c r="AI63" s="0" t="n">
        <f aca="false">AVERAGE(B63:AG63)</f>
        <v>2.15625</v>
      </c>
      <c r="AJ63" s="0" t="n">
        <f aca="false">STDEVP(B63:AG63)</f>
        <v>0.617928747915162</v>
      </c>
      <c r="AK63" s="0" t="n">
        <f aca="false">1.96*AJ63/SQRT(32)</f>
        <v>0.214101387891053</v>
      </c>
    </row>
    <row r="64" customFormat="false" ht="15" hidden="false" customHeight="false" outlineLevel="0" collapsed="false">
      <c r="A64" s="0" t="s">
        <v>65</v>
      </c>
      <c r="B64" s="0" t="n">
        <v>2</v>
      </c>
      <c r="C64" s="0" t="n">
        <v>2</v>
      </c>
      <c r="D64" s="0" t="n">
        <v>2</v>
      </c>
      <c r="E64" s="0" t="n">
        <v>2</v>
      </c>
      <c r="F64" s="0" t="n">
        <v>2</v>
      </c>
      <c r="G64" s="0" t="n">
        <v>3</v>
      </c>
      <c r="H64" s="0" t="n">
        <v>2</v>
      </c>
      <c r="I64" s="0" t="n">
        <v>3</v>
      </c>
      <c r="J64" s="0" t="n">
        <v>2</v>
      </c>
      <c r="K64" s="0" t="n">
        <v>1</v>
      </c>
      <c r="L64" s="0" t="n">
        <v>2</v>
      </c>
      <c r="M64" s="0" t="n">
        <v>2</v>
      </c>
      <c r="N64" s="0" t="n">
        <v>3</v>
      </c>
      <c r="O64" s="0" t="n">
        <v>2</v>
      </c>
      <c r="P64" s="0" t="n">
        <v>2</v>
      </c>
      <c r="Q64" s="0" t="n">
        <v>2</v>
      </c>
      <c r="R64" s="0" t="n">
        <v>3</v>
      </c>
      <c r="S64" s="0" t="n">
        <v>2</v>
      </c>
      <c r="T64" s="0" t="n">
        <v>3</v>
      </c>
      <c r="U64" s="0" t="n">
        <v>2</v>
      </c>
      <c r="V64" s="0" t="n">
        <v>2</v>
      </c>
      <c r="W64" s="0" t="n">
        <v>1</v>
      </c>
      <c r="X64" s="0" t="n">
        <v>2</v>
      </c>
      <c r="Y64" s="0" t="n">
        <v>1</v>
      </c>
      <c r="Z64" s="0" t="n">
        <v>2</v>
      </c>
      <c r="AA64" s="0" t="n">
        <v>2</v>
      </c>
      <c r="AB64" s="0" t="n">
        <v>2</v>
      </c>
      <c r="AC64" s="0" t="n">
        <v>2</v>
      </c>
      <c r="AD64" s="0" t="n">
        <v>3</v>
      </c>
      <c r="AE64" s="0" t="n">
        <v>3</v>
      </c>
      <c r="AF64" s="0" t="n">
        <v>1</v>
      </c>
      <c r="AG64" s="0" t="n">
        <v>2</v>
      </c>
      <c r="AI64" s="0" t="n">
        <f aca="false">AVERAGE(B64:AG64)</f>
        <v>2.09375</v>
      </c>
      <c r="AJ64" s="0" t="n">
        <f aca="false">STDEVP(B64:AG64)</f>
        <v>0.578758099295379</v>
      </c>
      <c r="AK64" s="0" t="n">
        <f aca="false">1.96*AJ64/SQRT(32)</f>
        <v>0.200529450572416</v>
      </c>
    </row>
    <row r="65" customFormat="false" ht="15" hidden="false" customHeight="false" outlineLevel="0" collapsed="false">
      <c r="A65" s="0" t="s">
        <v>66</v>
      </c>
      <c r="B65" s="0" t="n">
        <v>2</v>
      </c>
      <c r="C65" s="0" t="n">
        <v>5</v>
      </c>
      <c r="D65" s="0" t="n">
        <v>4</v>
      </c>
      <c r="E65" s="0" t="n">
        <v>4</v>
      </c>
      <c r="F65" s="0" t="n">
        <v>4</v>
      </c>
      <c r="G65" s="0" t="n">
        <v>3</v>
      </c>
      <c r="H65" s="0" t="n">
        <v>3</v>
      </c>
      <c r="I65" s="0" t="n">
        <v>5</v>
      </c>
      <c r="J65" s="0" t="n">
        <v>2</v>
      </c>
      <c r="K65" s="0" t="n">
        <v>2</v>
      </c>
      <c r="L65" s="0" t="n">
        <v>3</v>
      </c>
      <c r="M65" s="0" t="n">
        <v>5</v>
      </c>
      <c r="N65" s="0" t="n">
        <v>4</v>
      </c>
      <c r="O65" s="0" t="n">
        <v>5</v>
      </c>
      <c r="P65" s="0" t="n">
        <v>4</v>
      </c>
      <c r="Q65" s="0" t="n">
        <v>5</v>
      </c>
      <c r="R65" s="0" t="n">
        <v>5</v>
      </c>
      <c r="S65" s="0" t="n">
        <v>3</v>
      </c>
      <c r="T65" s="0" t="n">
        <v>4</v>
      </c>
      <c r="U65" s="0" t="n">
        <v>4</v>
      </c>
      <c r="V65" s="0" t="n">
        <v>5</v>
      </c>
      <c r="W65" s="0" t="n">
        <v>4</v>
      </c>
      <c r="X65" s="0" t="n">
        <v>4</v>
      </c>
      <c r="Y65" s="0" t="n">
        <v>5</v>
      </c>
      <c r="Z65" s="0" t="n">
        <v>5</v>
      </c>
      <c r="AA65" s="0" t="n">
        <v>3</v>
      </c>
      <c r="AB65" s="0" t="n">
        <v>5</v>
      </c>
      <c r="AC65" s="0" t="n">
        <v>4</v>
      </c>
      <c r="AD65" s="0" t="n">
        <v>5</v>
      </c>
      <c r="AE65" s="0" t="n">
        <v>3</v>
      </c>
      <c r="AF65" s="0" t="n">
        <v>2</v>
      </c>
      <c r="AG65" s="0" t="n">
        <v>4</v>
      </c>
      <c r="AI65" s="0" t="n">
        <f aca="false">AVERAGE(B65:AG65)</f>
        <v>3.90625</v>
      </c>
      <c r="AJ65" s="0" t="n">
        <f aca="false">STDEVP(B65:AG65)</f>
        <v>1.01116810546021</v>
      </c>
      <c r="AK65" s="0" t="n">
        <f aca="false">1.96*AJ65/SQRT(32)</f>
        <v>0.350351873902331</v>
      </c>
    </row>
    <row r="66" customFormat="false" ht="15" hidden="false" customHeight="false" outlineLevel="0" collapsed="false">
      <c r="A66" s="0" t="s">
        <v>67</v>
      </c>
      <c r="B66" s="0" t="n">
        <v>2</v>
      </c>
      <c r="C66" s="0" t="n">
        <v>4</v>
      </c>
      <c r="D66" s="0" t="n">
        <v>4</v>
      </c>
      <c r="E66" s="0" t="n">
        <v>5</v>
      </c>
      <c r="F66" s="0" t="n">
        <v>4</v>
      </c>
      <c r="G66" s="0" t="n">
        <v>4</v>
      </c>
      <c r="H66" s="0" t="n">
        <v>4</v>
      </c>
      <c r="I66" s="0" t="n">
        <v>5</v>
      </c>
      <c r="J66" s="0" t="n">
        <v>5</v>
      </c>
      <c r="K66" s="0" t="n">
        <v>3</v>
      </c>
      <c r="L66" s="0" t="n">
        <v>4</v>
      </c>
      <c r="M66" s="0" t="n">
        <v>4</v>
      </c>
      <c r="N66" s="0" t="n">
        <v>4</v>
      </c>
      <c r="O66" s="0" t="n">
        <v>4</v>
      </c>
      <c r="P66" s="0" t="n">
        <v>4</v>
      </c>
      <c r="Q66" s="0" t="n">
        <v>5</v>
      </c>
      <c r="R66" s="0" t="n">
        <v>4</v>
      </c>
      <c r="S66" s="0" t="n">
        <v>5</v>
      </c>
      <c r="T66" s="0" t="n">
        <v>5</v>
      </c>
      <c r="U66" s="0" t="n">
        <v>4</v>
      </c>
      <c r="V66" s="0" t="n">
        <v>4</v>
      </c>
      <c r="W66" s="0" t="n">
        <v>5</v>
      </c>
      <c r="X66" s="0" t="n">
        <v>4</v>
      </c>
      <c r="Y66" s="0" t="n">
        <v>5</v>
      </c>
      <c r="Z66" s="0" t="n">
        <v>5</v>
      </c>
      <c r="AA66" s="0" t="n">
        <v>4</v>
      </c>
      <c r="AB66" s="0" t="n">
        <v>4</v>
      </c>
      <c r="AC66" s="0" t="n">
        <v>5</v>
      </c>
      <c r="AD66" s="0" t="n">
        <v>4</v>
      </c>
      <c r="AE66" s="0" t="n">
        <v>5</v>
      </c>
      <c r="AF66" s="0" t="n">
        <v>3</v>
      </c>
      <c r="AG66" s="0" t="n">
        <v>5</v>
      </c>
      <c r="AI66" s="0" t="n">
        <f aca="false">AVERAGE(B66:AG66)</f>
        <v>4.25</v>
      </c>
      <c r="AJ66" s="0" t="n">
        <f aca="false">STDEVP(B66:AG66)</f>
        <v>0.707106781186548</v>
      </c>
      <c r="AK66" s="0" t="n">
        <f aca="false">1.96*AJ66/SQRT(32)</f>
        <v>0.245</v>
      </c>
    </row>
    <row r="67" customFormat="false" ht="15" hidden="false" customHeight="false" outlineLevel="0" collapsed="false">
      <c r="A67" s="0" t="s">
        <v>68</v>
      </c>
      <c r="B67" s="0" t="n">
        <v>3</v>
      </c>
      <c r="C67" s="0" t="n">
        <v>5</v>
      </c>
      <c r="D67" s="0" t="n">
        <v>4</v>
      </c>
      <c r="E67" s="0" t="n">
        <v>4</v>
      </c>
      <c r="F67" s="0" t="n">
        <v>5</v>
      </c>
      <c r="G67" s="0" t="n">
        <v>4</v>
      </c>
      <c r="H67" s="0" t="n">
        <v>4</v>
      </c>
      <c r="I67" s="0" t="n">
        <v>4</v>
      </c>
      <c r="J67" s="0" t="n">
        <v>4</v>
      </c>
      <c r="K67" s="0" t="n">
        <v>2</v>
      </c>
      <c r="L67" s="0" t="n">
        <v>3</v>
      </c>
      <c r="M67" s="0" t="n">
        <v>4</v>
      </c>
      <c r="N67" s="0" t="n">
        <v>4</v>
      </c>
      <c r="O67" s="0" t="n">
        <v>4</v>
      </c>
      <c r="P67" s="0" t="n">
        <v>4</v>
      </c>
      <c r="Q67" s="0" t="n">
        <v>5</v>
      </c>
      <c r="R67" s="0" t="n">
        <v>5</v>
      </c>
      <c r="S67" s="0" t="n">
        <v>4</v>
      </c>
      <c r="T67" s="0" t="n">
        <v>5</v>
      </c>
      <c r="U67" s="0" t="n">
        <v>3</v>
      </c>
      <c r="V67" s="0" t="n">
        <v>5</v>
      </c>
      <c r="W67" s="0" t="n">
        <v>4</v>
      </c>
      <c r="X67" s="0" t="n">
        <v>4</v>
      </c>
      <c r="Y67" s="0" t="n">
        <v>4</v>
      </c>
      <c r="Z67" s="0" t="n">
        <v>5</v>
      </c>
      <c r="AA67" s="0" t="n">
        <v>3</v>
      </c>
      <c r="AB67" s="0" t="n">
        <v>5</v>
      </c>
      <c r="AC67" s="0" t="n">
        <v>3</v>
      </c>
      <c r="AD67" s="0" t="n">
        <v>5</v>
      </c>
      <c r="AE67" s="0" t="n">
        <v>4</v>
      </c>
      <c r="AF67" s="0" t="n">
        <v>2</v>
      </c>
      <c r="AG67" s="0" t="n">
        <v>4</v>
      </c>
      <c r="AI67" s="0" t="n">
        <f aca="false">AVERAGE(B67:AG67)</f>
        <v>4</v>
      </c>
      <c r="AJ67" s="0" t="n">
        <f aca="false">STDEVP(B67:AG67)</f>
        <v>0.82915619758885</v>
      </c>
      <c r="AK67" s="0" t="n">
        <f aca="false">1.96*AJ67/SQRT(32)</f>
        <v>0.287287965289185</v>
      </c>
    </row>
    <row r="68" customFormat="false" ht="15" hidden="false" customHeight="false" outlineLevel="0" collapsed="false">
      <c r="A68" s="0" t="s">
        <v>69</v>
      </c>
      <c r="B68" s="0" t="n">
        <v>1</v>
      </c>
      <c r="C68" s="0" t="n">
        <v>3</v>
      </c>
      <c r="D68" s="0" t="n">
        <v>5</v>
      </c>
      <c r="E68" s="0" t="n">
        <v>4</v>
      </c>
      <c r="F68" s="0" t="n">
        <v>3</v>
      </c>
      <c r="G68" s="0" t="n">
        <v>4</v>
      </c>
      <c r="H68" s="0" t="n">
        <v>3</v>
      </c>
      <c r="I68" s="0" t="n">
        <v>4</v>
      </c>
      <c r="J68" s="0" t="n">
        <v>1</v>
      </c>
      <c r="K68" s="0" t="n">
        <v>2</v>
      </c>
      <c r="L68" s="0" t="n">
        <v>3</v>
      </c>
      <c r="M68" s="0" t="n">
        <v>3</v>
      </c>
      <c r="N68" s="0" t="n">
        <v>3</v>
      </c>
      <c r="O68" s="0" t="n">
        <v>4</v>
      </c>
      <c r="P68" s="0" t="n">
        <v>4</v>
      </c>
      <c r="Q68" s="0" t="n">
        <v>4</v>
      </c>
      <c r="R68" s="0" t="n">
        <v>5</v>
      </c>
      <c r="S68" s="0" t="n">
        <v>3</v>
      </c>
      <c r="T68" s="0" t="n">
        <v>5</v>
      </c>
      <c r="U68" s="0" t="n">
        <v>3</v>
      </c>
      <c r="V68" s="0" t="n">
        <v>4</v>
      </c>
      <c r="W68" s="0" t="n">
        <v>4</v>
      </c>
      <c r="X68" s="0" t="n">
        <v>4</v>
      </c>
      <c r="Y68" s="0" t="n">
        <v>4</v>
      </c>
      <c r="Z68" s="0" t="n">
        <v>3</v>
      </c>
      <c r="AA68" s="0" t="n">
        <v>3</v>
      </c>
      <c r="AB68" s="0" t="n">
        <v>3</v>
      </c>
      <c r="AC68" s="0" t="n">
        <v>4</v>
      </c>
      <c r="AD68" s="0" t="n">
        <v>5</v>
      </c>
      <c r="AE68" s="0" t="n">
        <v>3</v>
      </c>
      <c r="AF68" s="0" t="n">
        <v>2</v>
      </c>
      <c r="AG68" s="0" t="n">
        <v>4</v>
      </c>
      <c r="AI68" s="0" t="n">
        <f aca="false">AVERAGE(B68:AG68)</f>
        <v>3.4375</v>
      </c>
      <c r="AJ68" s="0" t="n">
        <f aca="false">STDEVP(B68:AG68)</f>
        <v>0.998044963916957</v>
      </c>
      <c r="AK68" s="0" t="n">
        <f aca="false">1.96*AJ68/SQRT(32)</f>
        <v>0.345804937338234</v>
      </c>
    </row>
    <row r="69" customFormat="false" ht="15" hidden="false" customHeight="false" outlineLevel="0" collapsed="false">
      <c r="A69" s="0" t="s">
        <v>70</v>
      </c>
      <c r="B69" s="0" t="n">
        <v>1</v>
      </c>
      <c r="C69" s="0" t="n">
        <v>2</v>
      </c>
      <c r="D69" s="0" t="n">
        <v>3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2</v>
      </c>
      <c r="J69" s="0" t="n">
        <v>2</v>
      </c>
      <c r="K69" s="0" t="n">
        <v>1</v>
      </c>
      <c r="L69" s="0" t="n">
        <v>3</v>
      </c>
      <c r="M69" s="0" t="n">
        <v>3</v>
      </c>
      <c r="N69" s="0" t="n">
        <v>2</v>
      </c>
      <c r="O69" s="0" t="n">
        <v>3</v>
      </c>
      <c r="P69" s="0" t="n">
        <v>3</v>
      </c>
      <c r="Q69" s="0" t="n">
        <v>2</v>
      </c>
      <c r="R69" s="0" t="n">
        <v>3</v>
      </c>
      <c r="S69" s="0" t="n">
        <v>1</v>
      </c>
      <c r="T69" s="0" t="n">
        <v>2</v>
      </c>
      <c r="U69" s="0" t="n">
        <v>2</v>
      </c>
      <c r="V69" s="0" t="n">
        <v>3</v>
      </c>
      <c r="W69" s="0" t="n">
        <v>2</v>
      </c>
      <c r="X69" s="0" t="n">
        <v>3</v>
      </c>
      <c r="Y69" s="0" t="n">
        <v>3</v>
      </c>
      <c r="Z69" s="0" t="n">
        <v>5</v>
      </c>
      <c r="AA69" s="0" t="n">
        <v>1</v>
      </c>
      <c r="AB69" s="0" t="n">
        <v>2</v>
      </c>
      <c r="AC69" s="0" t="n">
        <v>3</v>
      </c>
      <c r="AD69" s="0" t="n">
        <v>4</v>
      </c>
      <c r="AE69" s="0" t="n">
        <v>2</v>
      </c>
      <c r="AF69" s="0" t="n">
        <v>1</v>
      </c>
      <c r="AG69" s="0" t="n">
        <v>3</v>
      </c>
      <c r="AI69" s="0" t="n">
        <f aca="false">AVERAGE(B69:AG69)</f>
        <v>2.28125</v>
      </c>
      <c r="AJ69" s="0" t="n">
        <f aca="false">STDEVP(B69:AG69)</f>
        <v>0.943211767049161</v>
      </c>
      <c r="AK69" s="0" t="n">
        <f aca="false">1.96*AJ69/SQRT(32)</f>
        <v>0.32680620392195</v>
      </c>
    </row>
    <row r="70" customFormat="false" ht="15" hidden="false" customHeight="false" outlineLevel="0" collapsed="false">
      <c r="A70" s="0" t="s">
        <v>71</v>
      </c>
      <c r="B70" s="0" t="n">
        <v>1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1</v>
      </c>
      <c r="AE70" s="0" t="n">
        <v>1</v>
      </c>
      <c r="AF70" s="0" t="n">
        <v>1</v>
      </c>
      <c r="AG70" s="0" t="n">
        <v>1</v>
      </c>
      <c r="AI70" s="0" t="n">
        <f aca="false">AVERAGE(B70:AG70)</f>
        <v>1.09375</v>
      </c>
      <c r="AJ70" s="0" t="n">
        <f aca="false">STDEVP(B70:AG70)</f>
        <v>0.291480595409026</v>
      </c>
      <c r="AK70" s="0" t="n">
        <f aca="false">1.96*AJ70/SQRT(32)</f>
        <v>0.100992873743027</v>
      </c>
    </row>
    <row r="71" customFormat="false" ht="15" hidden="false" customHeight="false" outlineLevel="0" collapsed="false">
      <c r="A71" s="0" t="s">
        <v>72</v>
      </c>
      <c r="B71" s="0" t="n">
        <v>1</v>
      </c>
      <c r="C71" s="0" t="n">
        <v>4</v>
      </c>
      <c r="D71" s="0" t="n">
        <v>3</v>
      </c>
      <c r="E71" s="0" t="n">
        <v>4</v>
      </c>
      <c r="F71" s="0" t="n">
        <v>2</v>
      </c>
      <c r="G71" s="0" t="n">
        <v>3</v>
      </c>
      <c r="H71" s="0" t="n">
        <v>2</v>
      </c>
      <c r="I71" s="0" t="n">
        <v>4</v>
      </c>
      <c r="J71" s="0" t="n">
        <v>2</v>
      </c>
      <c r="K71" s="0" t="n">
        <v>2</v>
      </c>
      <c r="L71" s="0" t="n">
        <v>2</v>
      </c>
      <c r="M71" s="0" t="n">
        <v>1</v>
      </c>
      <c r="N71" s="0" t="n">
        <v>3</v>
      </c>
      <c r="O71" s="0" t="n">
        <v>3</v>
      </c>
      <c r="P71" s="0" t="n">
        <v>2</v>
      </c>
      <c r="Q71" s="0" t="n">
        <v>1</v>
      </c>
      <c r="R71" s="0" t="n">
        <v>4</v>
      </c>
      <c r="S71" s="0" t="n">
        <v>1</v>
      </c>
      <c r="T71" s="0" t="n">
        <v>3</v>
      </c>
      <c r="U71" s="0" t="n">
        <v>2</v>
      </c>
      <c r="V71" s="0" t="n">
        <v>3</v>
      </c>
      <c r="W71" s="0" t="n">
        <v>3</v>
      </c>
      <c r="X71" s="0" t="n">
        <v>3</v>
      </c>
      <c r="Y71" s="0" t="n">
        <v>3</v>
      </c>
      <c r="Z71" s="0" t="n">
        <v>3</v>
      </c>
      <c r="AA71" s="0" t="n">
        <v>3</v>
      </c>
      <c r="AB71" s="0" t="n">
        <v>3</v>
      </c>
      <c r="AC71" s="0" t="n">
        <v>2</v>
      </c>
      <c r="AD71" s="0" t="n">
        <v>2</v>
      </c>
      <c r="AE71" s="0" t="n">
        <v>3</v>
      </c>
      <c r="AF71" s="0" t="n">
        <v>2</v>
      </c>
      <c r="AG71" s="0" t="n">
        <v>2</v>
      </c>
      <c r="AI71" s="0" t="n">
        <f aca="false">AVERAGE(B71:AG71)</f>
        <v>2.53125</v>
      </c>
      <c r="AJ71" s="0" t="n">
        <f aca="false">STDEVP(B71:AG71)</f>
        <v>0.865461401507889</v>
      </c>
      <c r="AK71" s="0" t="n">
        <f aca="false">1.96*AJ71/SQRT(32)</f>
        <v>0.299867076672107</v>
      </c>
    </row>
    <row r="72" customFormat="false" ht="15" hidden="false" customHeight="false" outlineLevel="0" collapsed="false">
      <c r="A72" s="0" t="s">
        <v>73</v>
      </c>
      <c r="B72" s="0" t="n">
        <v>2</v>
      </c>
      <c r="C72" s="0" t="n">
        <v>2</v>
      </c>
      <c r="D72" s="0" t="n">
        <v>2</v>
      </c>
      <c r="E72" s="0" t="n">
        <v>2</v>
      </c>
      <c r="F72" s="0" t="n">
        <v>1</v>
      </c>
      <c r="G72" s="0" t="n">
        <v>2</v>
      </c>
      <c r="H72" s="0" t="n">
        <v>1</v>
      </c>
      <c r="I72" s="0" t="n">
        <v>3</v>
      </c>
      <c r="J72" s="0" t="n">
        <v>1</v>
      </c>
      <c r="K72" s="0" t="n">
        <v>1</v>
      </c>
      <c r="L72" s="0" t="n">
        <v>2</v>
      </c>
      <c r="M72" s="0" t="n">
        <v>2</v>
      </c>
      <c r="N72" s="0" t="n">
        <v>2</v>
      </c>
      <c r="O72" s="0" t="n">
        <v>3</v>
      </c>
      <c r="P72" s="0" t="n">
        <v>3</v>
      </c>
      <c r="Q72" s="0" t="n">
        <v>1</v>
      </c>
      <c r="R72" s="0" t="n">
        <v>2</v>
      </c>
      <c r="S72" s="0" t="n">
        <v>1</v>
      </c>
      <c r="T72" s="0" t="n">
        <v>2</v>
      </c>
      <c r="U72" s="0" t="n">
        <v>3</v>
      </c>
      <c r="V72" s="0" t="n">
        <v>3</v>
      </c>
      <c r="W72" s="0" t="n">
        <v>3</v>
      </c>
      <c r="X72" s="0" t="n">
        <v>2</v>
      </c>
      <c r="Y72" s="0" t="n">
        <v>1</v>
      </c>
      <c r="Z72" s="0" t="n">
        <v>3</v>
      </c>
      <c r="AA72" s="0" t="n">
        <v>2</v>
      </c>
      <c r="AB72" s="0" t="n">
        <v>2</v>
      </c>
      <c r="AC72" s="0" t="n">
        <v>3</v>
      </c>
      <c r="AD72" s="0" t="n">
        <v>1</v>
      </c>
      <c r="AE72" s="0" t="n">
        <v>3</v>
      </c>
      <c r="AF72" s="0" t="n">
        <v>1</v>
      </c>
      <c r="AG72" s="0" t="n">
        <v>1</v>
      </c>
      <c r="AI72" s="0" t="n">
        <f aca="false">AVERAGE(B72:AG72)</f>
        <v>1.96875</v>
      </c>
      <c r="AJ72" s="0" t="n">
        <f aca="false">STDEVP(B72:AG72)</f>
        <v>0.769917812172183</v>
      </c>
      <c r="AK72" s="0" t="n">
        <f aca="false">1.96*AJ72/SQRT(32)</f>
        <v>0.266762911912198</v>
      </c>
    </row>
    <row r="73" customFormat="false" ht="15" hidden="false" customHeight="false" outlineLevel="0" collapsed="false">
      <c r="A73" s="0" t="s">
        <v>74</v>
      </c>
      <c r="B73" s="0" t="n">
        <v>3</v>
      </c>
      <c r="C73" s="0" t="n">
        <v>4</v>
      </c>
      <c r="D73" s="0" t="n">
        <v>3</v>
      </c>
      <c r="E73" s="0" t="n">
        <v>4</v>
      </c>
      <c r="F73" s="0" t="n">
        <v>4</v>
      </c>
      <c r="G73" s="0" t="n">
        <v>5</v>
      </c>
      <c r="H73" s="0" t="n">
        <v>4</v>
      </c>
      <c r="I73" s="0" t="n">
        <v>5</v>
      </c>
      <c r="J73" s="0" t="n">
        <v>4</v>
      </c>
      <c r="K73" s="0" t="n">
        <v>2</v>
      </c>
      <c r="L73" s="0" t="n">
        <v>3</v>
      </c>
      <c r="M73" s="0" t="n">
        <v>4</v>
      </c>
      <c r="N73" s="0" t="n">
        <v>4</v>
      </c>
      <c r="O73" s="0" t="n">
        <v>5</v>
      </c>
      <c r="P73" s="0" t="n">
        <v>2</v>
      </c>
      <c r="Q73" s="0" t="n">
        <v>1</v>
      </c>
      <c r="R73" s="0" t="n">
        <v>4</v>
      </c>
      <c r="S73" s="0" t="n">
        <v>3</v>
      </c>
      <c r="T73" s="0" t="n">
        <v>5</v>
      </c>
      <c r="U73" s="0" t="n">
        <v>4</v>
      </c>
      <c r="V73" s="0" t="n">
        <v>5</v>
      </c>
      <c r="W73" s="0" t="n">
        <v>4</v>
      </c>
      <c r="X73" s="0" t="n">
        <v>5</v>
      </c>
      <c r="Y73" s="0" t="n">
        <v>5</v>
      </c>
      <c r="Z73" s="0" t="n">
        <v>3</v>
      </c>
      <c r="AA73" s="0" t="n">
        <v>3</v>
      </c>
      <c r="AB73" s="0" t="n">
        <v>4</v>
      </c>
      <c r="AC73" s="0" t="n">
        <v>4</v>
      </c>
      <c r="AD73" s="0" t="n">
        <v>4</v>
      </c>
      <c r="AE73" s="0" t="n">
        <v>3</v>
      </c>
      <c r="AF73" s="0" t="n">
        <v>3</v>
      </c>
      <c r="AG73" s="0" t="n">
        <v>4</v>
      </c>
      <c r="AI73" s="0" t="n">
        <f aca="false">AVERAGE(B73:AG73)</f>
        <v>3.75</v>
      </c>
      <c r="AJ73" s="0" t="n">
        <f aca="false">STDEVP(B73:AG73)</f>
        <v>0.968245836551854</v>
      </c>
      <c r="AK73" s="0" t="n">
        <f aca="false">1.96*AJ73/SQRT(32)</f>
        <v>0.335480066471914</v>
      </c>
    </row>
    <row r="74" customFormat="false" ht="15" hidden="false" customHeight="false" outlineLevel="0" collapsed="false">
      <c r="A74" s="0" t="s">
        <v>75</v>
      </c>
      <c r="B74" s="0" t="n">
        <v>2</v>
      </c>
      <c r="C74" s="0" t="n">
        <v>4</v>
      </c>
      <c r="D74" s="0" t="n">
        <v>5</v>
      </c>
      <c r="E74" s="0" t="n">
        <v>3</v>
      </c>
      <c r="F74" s="0" t="n">
        <v>2</v>
      </c>
      <c r="G74" s="0" t="n">
        <v>3</v>
      </c>
      <c r="H74" s="0" t="n">
        <v>4</v>
      </c>
      <c r="I74" s="0" t="n">
        <v>5</v>
      </c>
      <c r="J74" s="0" t="n">
        <v>3</v>
      </c>
      <c r="K74" s="0" t="n">
        <v>1</v>
      </c>
      <c r="L74" s="0" t="n">
        <v>3</v>
      </c>
      <c r="M74" s="0" t="n">
        <v>3</v>
      </c>
      <c r="N74" s="0" t="n">
        <v>3</v>
      </c>
      <c r="O74" s="0" t="n">
        <v>4</v>
      </c>
      <c r="P74" s="0" t="n">
        <v>3</v>
      </c>
      <c r="Q74" s="0" t="n">
        <v>3</v>
      </c>
      <c r="R74" s="0" t="n">
        <v>4</v>
      </c>
      <c r="S74" s="0" t="n">
        <v>3</v>
      </c>
      <c r="T74" s="0" t="n">
        <v>4</v>
      </c>
      <c r="U74" s="0" t="n">
        <v>3</v>
      </c>
      <c r="V74" s="0" t="n">
        <v>3</v>
      </c>
      <c r="W74" s="0" t="n">
        <v>4</v>
      </c>
      <c r="X74" s="0" t="n">
        <v>3</v>
      </c>
      <c r="Y74" s="0" t="n">
        <v>4</v>
      </c>
      <c r="Z74" s="0" t="n">
        <v>3</v>
      </c>
      <c r="AA74" s="0" t="n">
        <v>4</v>
      </c>
      <c r="AB74" s="0" t="n">
        <v>3</v>
      </c>
      <c r="AC74" s="0" t="n">
        <v>3</v>
      </c>
      <c r="AD74" s="0" t="n">
        <v>3</v>
      </c>
      <c r="AE74" s="0" t="n">
        <v>4</v>
      </c>
      <c r="AF74" s="0" t="n">
        <v>2</v>
      </c>
      <c r="AG74" s="0" t="n">
        <v>5</v>
      </c>
      <c r="AI74" s="0" t="n">
        <f aca="false">AVERAGE(B74:AG74)</f>
        <v>3.3125</v>
      </c>
      <c r="AJ74" s="0" t="n">
        <f aca="false">STDEVP(B74:AG74)</f>
        <v>0.881670998729118</v>
      </c>
      <c r="AK74" s="0" t="n">
        <f aca="false">1.96*AJ74/SQRT(32)</f>
        <v>0.305483415568669</v>
      </c>
    </row>
    <row r="75" customFormat="false" ht="15" hidden="false" customHeight="false" outlineLevel="0" collapsed="false">
      <c r="A75" s="0" t="s">
        <v>76</v>
      </c>
      <c r="B75" s="0" t="n">
        <v>4</v>
      </c>
      <c r="C75" s="0" t="n">
        <v>3</v>
      </c>
      <c r="D75" s="0" t="n">
        <v>2</v>
      </c>
      <c r="E75" s="0" t="n">
        <v>2</v>
      </c>
      <c r="F75" s="0" t="n">
        <v>1</v>
      </c>
      <c r="G75" s="0" t="n">
        <v>3</v>
      </c>
      <c r="H75" s="0" t="n">
        <v>1</v>
      </c>
      <c r="I75" s="0" t="n">
        <v>3</v>
      </c>
      <c r="J75" s="0" t="n">
        <v>2</v>
      </c>
      <c r="K75" s="0" t="n">
        <v>1</v>
      </c>
      <c r="L75" s="0" t="n">
        <v>2</v>
      </c>
      <c r="M75" s="0" t="n">
        <v>1</v>
      </c>
      <c r="N75" s="0" t="n">
        <v>2</v>
      </c>
      <c r="O75" s="0" t="n">
        <v>2</v>
      </c>
      <c r="P75" s="0" t="n">
        <v>2</v>
      </c>
      <c r="Q75" s="0" t="n">
        <v>1</v>
      </c>
      <c r="R75" s="0" t="n">
        <v>3</v>
      </c>
      <c r="S75" s="0" t="n">
        <v>1</v>
      </c>
      <c r="T75" s="0" t="n">
        <v>3</v>
      </c>
      <c r="U75" s="0" t="n">
        <v>3</v>
      </c>
      <c r="V75" s="0" t="n">
        <v>2</v>
      </c>
      <c r="W75" s="0" t="n">
        <v>2</v>
      </c>
      <c r="X75" s="0" t="n">
        <v>2</v>
      </c>
      <c r="Y75" s="0" t="n">
        <v>3</v>
      </c>
      <c r="Z75" s="0" t="n">
        <v>2</v>
      </c>
      <c r="AA75" s="0" t="n">
        <v>3</v>
      </c>
      <c r="AB75" s="0" t="n">
        <v>2</v>
      </c>
      <c r="AC75" s="0" t="n">
        <v>2</v>
      </c>
      <c r="AD75" s="0" t="n">
        <v>1</v>
      </c>
      <c r="AE75" s="0" t="n">
        <v>2</v>
      </c>
      <c r="AF75" s="0" t="n">
        <v>1</v>
      </c>
      <c r="AG75" s="0" t="n">
        <v>3</v>
      </c>
      <c r="AI75" s="0" t="n">
        <f aca="false">AVERAGE(B75:AG75)</f>
        <v>2.09375</v>
      </c>
      <c r="AJ75" s="0" t="n">
        <f aca="false">STDEVP(B75:AG75)</f>
        <v>0.804649574348983</v>
      </c>
      <c r="AK75" s="0" t="n">
        <f aca="false">1.96*AJ75/SQRT(32)</f>
        <v>0.278796853545507</v>
      </c>
    </row>
    <row r="76" customFormat="false" ht="15" hidden="false" customHeight="false" outlineLevel="0" collapsed="false">
      <c r="A76" s="0" t="s">
        <v>77</v>
      </c>
      <c r="B76" s="0" t="n">
        <v>2</v>
      </c>
      <c r="C76" s="0" t="n">
        <v>2</v>
      </c>
      <c r="D76" s="0" t="n">
        <v>1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3</v>
      </c>
      <c r="J76" s="0" t="n">
        <v>2</v>
      </c>
      <c r="K76" s="0" t="n">
        <v>1</v>
      </c>
      <c r="L76" s="0" t="n">
        <v>3</v>
      </c>
      <c r="M76" s="0" t="n">
        <v>2</v>
      </c>
      <c r="N76" s="0" t="n">
        <v>3</v>
      </c>
      <c r="O76" s="0" t="n">
        <v>2</v>
      </c>
      <c r="P76" s="0" t="n">
        <v>2</v>
      </c>
      <c r="Q76" s="0" t="n">
        <v>1</v>
      </c>
      <c r="R76" s="0" t="n">
        <v>3</v>
      </c>
      <c r="S76" s="0" t="n">
        <v>1</v>
      </c>
      <c r="T76" s="0" t="n">
        <v>2</v>
      </c>
      <c r="U76" s="0" t="n">
        <v>2</v>
      </c>
      <c r="V76" s="0" t="n">
        <v>3</v>
      </c>
      <c r="W76" s="0" t="n">
        <v>2</v>
      </c>
      <c r="X76" s="0" t="n">
        <v>2</v>
      </c>
      <c r="Y76" s="0" t="n">
        <v>1</v>
      </c>
      <c r="Z76" s="0" t="n">
        <v>2</v>
      </c>
      <c r="AA76" s="0" t="n">
        <v>2</v>
      </c>
      <c r="AB76" s="0" t="n">
        <v>2</v>
      </c>
      <c r="AC76" s="0" t="n">
        <v>2</v>
      </c>
      <c r="AD76" s="0" t="n">
        <v>2</v>
      </c>
      <c r="AE76" s="0" t="n">
        <v>2</v>
      </c>
      <c r="AF76" s="0" t="n">
        <v>1</v>
      </c>
      <c r="AG76" s="0" t="n">
        <v>3</v>
      </c>
      <c r="AI76" s="0" t="n">
        <f aca="false">AVERAGE(B76:AG76)</f>
        <v>1.9375</v>
      </c>
      <c r="AJ76" s="0" t="n">
        <f aca="false">STDEVP(B76:AG76)</f>
        <v>0.658478359553296</v>
      </c>
      <c r="AK76" s="0" t="n">
        <f aca="false">1.96*AJ76/SQRT(32)</f>
        <v>0.228151111519317</v>
      </c>
    </row>
    <row r="77" customFormat="false" ht="15" hidden="false" customHeight="false" outlineLevel="0" collapsed="false">
      <c r="A77" s="0" t="s">
        <v>78</v>
      </c>
      <c r="B77" s="0" t="n">
        <v>2</v>
      </c>
      <c r="C77" s="0" t="n">
        <v>3</v>
      </c>
      <c r="D77" s="0" t="n">
        <v>3</v>
      </c>
      <c r="E77" s="0" t="n">
        <v>3</v>
      </c>
      <c r="F77" s="0" t="n">
        <v>2</v>
      </c>
      <c r="G77" s="0" t="n">
        <v>4</v>
      </c>
      <c r="H77" s="0" t="n">
        <v>2</v>
      </c>
      <c r="I77" s="0" t="n">
        <v>3</v>
      </c>
      <c r="J77" s="0" t="n">
        <v>3</v>
      </c>
      <c r="K77" s="0" t="n">
        <v>2</v>
      </c>
      <c r="L77" s="0" t="n">
        <v>3</v>
      </c>
      <c r="M77" s="0" t="n">
        <v>4</v>
      </c>
      <c r="N77" s="0" t="n">
        <v>4</v>
      </c>
      <c r="O77" s="0" t="n">
        <v>4</v>
      </c>
      <c r="P77" s="0" t="n">
        <v>2</v>
      </c>
      <c r="Q77" s="0" t="n">
        <v>1</v>
      </c>
      <c r="R77" s="0" t="n">
        <v>3</v>
      </c>
      <c r="S77" s="0" t="n">
        <v>3</v>
      </c>
      <c r="T77" s="0" t="n">
        <v>5</v>
      </c>
      <c r="U77" s="0" t="n">
        <v>3</v>
      </c>
      <c r="V77" s="0" t="n">
        <v>2</v>
      </c>
      <c r="W77" s="0" t="n">
        <v>3</v>
      </c>
      <c r="X77" s="0" t="n">
        <v>3</v>
      </c>
      <c r="Y77" s="0" t="n">
        <v>3</v>
      </c>
      <c r="Z77" s="0" t="n">
        <v>2</v>
      </c>
      <c r="AA77" s="0" t="n">
        <v>3</v>
      </c>
      <c r="AB77" s="0" t="n">
        <v>3</v>
      </c>
      <c r="AC77" s="0" t="n">
        <v>3</v>
      </c>
      <c r="AD77" s="0" t="n">
        <v>3</v>
      </c>
      <c r="AE77" s="0" t="n">
        <v>3</v>
      </c>
      <c r="AF77" s="0" t="n">
        <v>1</v>
      </c>
      <c r="AG77" s="0" t="n">
        <v>3</v>
      </c>
      <c r="AI77" s="0" t="n">
        <f aca="false">AVERAGE(B77:AG77)</f>
        <v>2.84375</v>
      </c>
      <c r="AJ77" s="0" t="n">
        <f aca="false">STDEVP(B77:AG77)</f>
        <v>0.833268226623336</v>
      </c>
      <c r="AK77" s="0" t="n">
        <f aca="false">1.96*AJ77/SQRT(32)</f>
        <v>0.288712710660399</v>
      </c>
    </row>
    <row r="78" customFormat="false" ht="15" hidden="false" customHeight="false" outlineLevel="0" collapsed="false">
      <c r="A78" s="0" t="s">
        <v>79</v>
      </c>
      <c r="B78" s="0" t="n">
        <v>3</v>
      </c>
      <c r="C78" s="0" t="n">
        <v>3</v>
      </c>
      <c r="D78" s="0" t="n">
        <v>2</v>
      </c>
      <c r="E78" s="0" t="n">
        <v>2</v>
      </c>
      <c r="F78" s="0" t="n">
        <v>2</v>
      </c>
      <c r="G78" s="0" t="n">
        <v>3</v>
      </c>
      <c r="H78" s="0" t="n">
        <v>2</v>
      </c>
      <c r="I78" s="0" t="n">
        <v>4</v>
      </c>
      <c r="J78" s="0" t="n">
        <v>3</v>
      </c>
      <c r="K78" s="0" t="n">
        <v>2</v>
      </c>
      <c r="L78" s="0" t="n">
        <v>3</v>
      </c>
      <c r="M78" s="0" t="n">
        <v>4</v>
      </c>
      <c r="N78" s="0" t="n">
        <v>3</v>
      </c>
      <c r="O78" s="0" t="n">
        <v>3</v>
      </c>
      <c r="P78" s="0" t="n">
        <v>3</v>
      </c>
      <c r="Q78" s="0" t="n">
        <v>1</v>
      </c>
      <c r="R78" s="0" t="n">
        <v>4</v>
      </c>
      <c r="S78" s="0" t="n">
        <v>1</v>
      </c>
      <c r="T78" s="0" t="n">
        <v>3</v>
      </c>
      <c r="U78" s="0" t="n">
        <v>3</v>
      </c>
      <c r="V78" s="0" t="n">
        <v>3</v>
      </c>
      <c r="W78" s="0" t="n">
        <v>2</v>
      </c>
      <c r="X78" s="0" t="n">
        <v>3</v>
      </c>
      <c r="Y78" s="0" t="n">
        <v>3</v>
      </c>
      <c r="Z78" s="0" t="n">
        <v>2</v>
      </c>
      <c r="AA78" s="0" t="n">
        <v>4</v>
      </c>
      <c r="AB78" s="0" t="n">
        <v>3</v>
      </c>
      <c r="AC78" s="0" t="n">
        <v>3</v>
      </c>
      <c r="AD78" s="0" t="n">
        <v>3</v>
      </c>
      <c r="AE78" s="0" t="n">
        <v>2</v>
      </c>
      <c r="AF78" s="0" t="n">
        <v>1</v>
      </c>
      <c r="AG78" s="0" t="n">
        <v>3</v>
      </c>
      <c r="AI78" s="0" t="n">
        <f aca="false">AVERAGE(B78:AG78)</f>
        <v>2.6875</v>
      </c>
      <c r="AJ78" s="0" t="n">
        <f aca="false">STDEVP(B78:AG78)</f>
        <v>0.807677998957505</v>
      </c>
      <c r="AK78" s="0" t="n">
        <f aca="false">1.96*AJ78/SQRT(32)</f>
        <v>0.279846149138236</v>
      </c>
    </row>
    <row r="79" customFormat="false" ht="15" hidden="false" customHeight="false" outlineLevel="0" collapsed="false">
      <c r="A79" s="0" t="s">
        <v>80</v>
      </c>
      <c r="B79" s="0" t="n">
        <v>1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3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1</v>
      </c>
      <c r="AA79" s="0" t="n">
        <v>1</v>
      </c>
      <c r="AB79" s="0" t="n">
        <v>1</v>
      </c>
      <c r="AC79" s="0" t="n">
        <v>1</v>
      </c>
      <c r="AD79" s="0" t="n">
        <v>1</v>
      </c>
      <c r="AE79" s="0" t="n">
        <v>1</v>
      </c>
      <c r="AF79" s="0" t="n">
        <v>1</v>
      </c>
      <c r="AG79" s="0" t="n">
        <v>1</v>
      </c>
      <c r="AI79" s="0" t="n">
        <f aca="false">AVERAGE(B79:AG79)</f>
        <v>1.15625</v>
      </c>
      <c r="AJ79" s="0" t="n">
        <f aca="false">STDEVP(B79:AG79)</f>
        <v>0.440835499364559</v>
      </c>
      <c r="AK79" s="0" t="n">
        <f aca="false">1.96*AJ79/SQRT(32)</f>
        <v>0.152741707784334</v>
      </c>
    </row>
    <row r="80" customFormat="false" ht="15" hidden="false" customHeight="false" outlineLevel="0" collapsed="false">
      <c r="A80" s="0" t="s">
        <v>81</v>
      </c>
      <c r="B80" s="0" t="n">
        <v>1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2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2</v>
      </c>
      <c r="Z80" s="0" t="n">
        <v>2</v>
      </c>
      <c r="AA80" s="0" t="n">
        <v>1</v>
      </c>
      <c r="AB80" s="0" t="n">
        <v>1</v>
      </c>
      <c r="AC80" s="0" t="n">
        <v>1</v>
      </c>
      <c r="AD80" s="0" t="n">
        <v>1</v>
      </c>
      <c r="AE80" s="0" t="n">
        <v>2</v>
      </c>
      <c r="AF80" s="0" t="n">
        <v>1</v>
      </c>
      <c r="AG80" s="0" t="n">
        <v>1</v>
      </c>
      <c r="AI80" s="0" t="n">
        <f aca="false">AVERAGE(B80:AG80)</f>
        <v>1.15625</v>
      </c>
      <c r="AJ80" s="0" t="n">
        <f aca="false">STDEVP(B80:AG80)</f>
        <v>0.363092188706945</v>
      </c>
      <c r="AK80" s="0" t="n">
        <f aca="false">1.96*AJ80/SQRT(32)</f>
        <v>0.125805024926968</v>
      </c>
    </row>
    <row r="81" customFormat="false" ht="15" hidden="false" customHeight="false" outlineLevel="0" collapsed="false">
      <c r="A81" s="0" t="s">
        <v>82</v>
      </c>
      <c r="B81" s="0" t="n">
        <v>1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2</v>
      </c>
      <c r="H81" s="0" t="n">
        <v>1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3</v>
      </c>
      <c r="N81" s="0" t="n">
        <v>1</v>
      </c>
      <c r="O81" s="0" t="n">
        <v>1</v>
      </c>
      <c r="P81" s="0" t="n">
        <v>2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2</v>
      </c>
      <c r="Z81" s="0" t="n">
        <v>1</v>
      </c>
      <c r="AA81" s="0" t="n">
        <v>1</v>
      </c>
      <c r="AB81" s="0" t="n">
        <v>1</v>
      </c>
      <c r="AC81" s="0" t="n">
        <v>1</v>
      </c>
      <c r="AD81" s="0" t="n">
        <v>1</v>
      </c>
      <c r="AE81" s="0" t="n">
        <v>1</v>
      </c>
      <c r="AF81" s="0" t="n">
        <v>1</v>
      </c>
      <c r="AG81" s="0" t="n">
        <v>1</v>
      </c>
      <c r="AI81" s="0" t="n">
        <f aca="false">AVERAGE(B81:AG81)</f>
        <v>1.1875</v>
      </c>
      <c r="AJ81" s="0" t="n">
        <f aca="false">STDEVP(B81:AG81)</f>
        <v>0.463512405443479</v>
      </c>
      <c r="AK81" s="0" t="n">
        <f aca="false">1.96*AJ81/SQRT(32)</f>
        <v>0.160598854876054</v>
      </c>
    </row>
    <row r="82" customFormat="false" ht="15" hidden="false" customHeight="false" outlineLevel="0" collapsed="false">
      <c r="A82" s="0" t="s">
        <v>83</v>
      </c>
      <c r="B82" s="0" t="n">
        <v>1</v>
      </c>
      <c r="C82" s="0" t="n">
        <v>1</v>
      </c>
      <c r="D82" s="0" t="n">
        <v>2</v>
      </c>
      <c r="E82" s="0" t="n">
        <v>2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3</v>
      </c>
      <c r="N82" s="0" t="n">
        <v>1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1</v>
      </c>
      <c r="V82" s="0" t="n">
        <v>2</v>
      </c>
      <c r="W82" s="0" t="n">
        <v>1</v>
      </c>
      <c r="X82" s="0" t="n">
        <v>1</v>
      </c>
      <c r="Y82" s="0" t="n">
        <v>2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1</v>
      </c>
      <c r="AI82" s="0" t="n">
        <f aca="false">AVERAGE(B82:AG82)</f>
        <v>1.28125</v>
      </c>
      <c r="AJ82" s="0" t="n">
        <f aca="false">STDEVP(B82:AG82)</f>
        <v>0.514439926036073</v>
      </c>
      <c r="AK82" s="0" t="n">
        <f aca="false">1.96*AJ82/SQRT(32)</f>
        <v>0.178244340504474</v>
      </c>
    </row>
    <row r="83" customFormat="false" ht="15" hidden="false" customHeight="false" outlineLevel="0" collapsed="false">
      <c r="A83" s="0" t="s">
        <v>84</v>
      </c>
      <c r="B83" s="0" t="n">
        <v>1</v>
      </c>
      <c r="C83" s="0" t="n">
        <v>1</v>
      </c>
      <c r="D83" s="0" t="n">
        <v>2</v>
      </c>
      <c r="E83" s="0" t="n">
        <v>2</v>
      </c>
      <c r="F83" s="0" t="n">
        <v>1</v>
      </c>
      <c r="G83" s="0" t="n">
        <v>2</v>
      </c>
      <c r="H83" s="0" t="n">
        <v>1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2</v>
      </c>
      <c r="P83" s="0" t="n">
        <v>2</v>
      </c>
      <c r="Q83" s="0" t="n">
        <v>1</v>
      </c>
      <c r="R83" s="0" t="n">
        <v>2</v>
      </c>
      <c r="S83" s="0" t="n">
        <v>1</v>
      </c>
      <c r="T83" s="0" t="n">
        <v>1</v>
      </c>
      <c r="U83" s="0" t="n">
        <v>2</v>
      </c>
      <c r="V83" s="0" t="n">
        <v>1</v>
      </c>
      <c r="W83" s="0" t="n">
        <v>1</v>
      </c>
      <c r="X83" s="0" t="n">
        <v>2</v>
      </c>
      <c r="Y83" s="0" t="n">
        <v>2</v>
      </c>
      <c r="Z83" s="0" t="n">
        <v>1</v>
      </c>
      <c r="AA83" s="0" t="n">
        <v>2</v>
      </c>
      <c r="AB83" s="0" t="n">
        <v>1</v>
      </c>
      <c r="AC83" s="0" t="n">
        <v>2</v>
      </c>
      <c r="AD83" s="0" t="n">
        <v>2</v>
      </c>
      <c r="AE83" s="0" t="n">
        <v>1</v>
      </c>
      <c r="AF83" s="0" t="n">
        <v>1</v>
      </c>
      <c r="AG83" s="0" t="n">
        <v>1</v>
      </c>
      <c r="AI83" s="0" t="n">
        <f aca="false">AVERAGE(B83:AG83)</f>
        <v>1.4375</v>
      </c>
      <c r="AJ83" s="0" t="n">
        <f aca="false">STDEVP(B83:AG83)</f>
        <v>0.496078370824611</v>
      </c>
      <c r="AK83" s="0" t="n">
        <f aca="false">1.96*AJ83/SQRT(32)</f>
        <v>0.171882386204928</v>
      </c>
    </row>
    <row r="84" customFormat="false" ht="15" hidden="false" customHeight="false" outlineLevel="0" collapsed="false">
      <c r="A84" s="0" t="s">
        <v>85</v>
      </c>
      <c r="B84" s="0" t="n">
        <v>2</v>
      </c>
      <c r="C84" s="0" t="n">
        <v>1</v>
      </c>
      <c r="D84" s="0" t="n">
        <v>2</v>
      </c>
      <c r="E84" s="0" t="n">
        <v>2</v>
      </c>
      <c r="F84" s="0" t="n">
        <v>2</v>
      </c>
      <c r="G84" s="0" t="n">
        <v>2</v>
      </c>
      <c r="H84" s="0" t="n">
        <v>2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2</v>
      </c>
      <c r="N84" s="0" t="n">
        <v>2</v>
      </c>
      <c r="O84" s="0" t="n">
        <v>2</v>
      </c>
      <c r="P84" s="0" t="n">
        <v>1</v>
      </c>
      <c r="Q84" s="0" t="n">
        <v>1</v>
      </c>
      <c r="R84" s="0" t="n">
        <v>3</v>
      </c>
      <c r="S84" s="0" t="n">
        <v>1</v>
      </c>
      <c r="T84" s="0" t="n">
        <v>1</v>
      </c>
      <c r="U84" s="0" t="n">
        <v>2</v>
      </c>
      <c r="V84" s="0" t="n">
        <v>2</v>
      </c>
      <c r="W84" s="0" t="n">
        <v>2</v>
      </c>
      <c r="X84" s="0" t="n">
        <v>1</v>
      </c>
      <c r="Y84" s="0" t="n">
        <v>1</v>
      </c>
      <c r="Z84" s="0" t="n">
        <v>2</v>
      </c>
      <c r="AA84" s="0" t="n">
        <v>2</v>
      </c>
      <c r="AB84" s="0" t="n">
        <v>1</v>
      </c>
      <c r="AC84" s="0" t="n">
        <v>2</v>
      </c>
      <c r="AD84" s="0" t="n">
        <v>1</v>
      </c>
      <c r="AE84" s="0" t="n">
        <v>1</v>
      </c>
      <c r="AF84" s="0" t="n">
        <v>1</v>
      </c>
      <c r="AG84" s="0" t="n">
        <v>2</v>
      </c>
      <c r="AI84" s="0" t="n">
        <f aca="false">AVERAGE(B84:AG84)</f>
        <v>1.59375</v>
      </c>
      <c r="AJ84" s="0" t="n">
        <f aca="false">STDEVP(B84:AG84)</f>
        <v>0.551099752767137</v>
      </c>
      <c r="AK84" s="0" t="n">
        <f aca="false">1.96*AJ84/SQRT(32)</f>
        <v>0.190946322423018</v>
      </c>
    </row>
    <row r="85" customFormat="false" ht="15" hidden="false" customHeight="false" outlineLevel="0" collapsed="false">
      <c r="A85" s="0" t="s">
        <v>86</v>
      </c>
      <c r="B85" s="0" t="n">
        <v>2</v>
      </c>
      <c r="C85" s="0" t="n">
        <v>2</v>
      </c>
      <c r="D85" s="0" t="n">
        <v>3</v>
      </c>
      <c r="E85" s="0" t="n">
        <v>3</v>
      </c>
      <c r="F85" s="0" t="n">
        <v>2</v>
      </c>
      <c r="G85" s="0" t="n">
        <v>2</v>
      </c>
      <c r="H85" s="0" t="n">
        <v>2</v>
      </c>
      <c r="I85" s="0" t="n">
        <v>3</v>
      </c>
      <c r="J85" s="0" t="n">
        <v>3</v>
      </c>
      <c r="K85" s="0" t="n">
        <v>1</v>
      </c>
      <c r="L85" s="0" t="n">
        <v>2</v>
      </c>
      <c r="M85" s="0" t="n">
        <v>2</v>
      </c>
      <c r="N85" s="0" t="n">
        <v>2</v>
      </c>
      <c r="O85" s="0" t="n">
        <v>2</v>
      </c>
      <c r="P85" s="0" t="n">
        <v>2</v>
      </c>
      <c r="Q85" s="0" t="n">
        <v>2</v>
      </c>
      <c r="R85" s="0" t="n">
        <v>4</v>
      </c>
      <c r="S85" s="0" t="n">
        <v>2</v>
      </c>
      <c r="T85" s="0" t="n">
        <v>4</v>
      </c>
      <c r="U85" s="0" t="n">
        <v>2</v>
      </c>
      <c r="V85" s="0" t="n">
        <v>2</v>
      </c>
      <c r="W85" s="0" t="n">
        <v>2</v>
      </c>
      <c r="X85" s="0" t="n">
        <v>3</v>
      </c>
      <c r="Y85" s="0" t="n">
        <v>3</v>
      </c>
      <c r="Z85" s="0" t="n">
        <v>2</v>
      </c>
      <c r="AA85" s="0" t="n">
        <v>2</v>
      </c>
      <c r="AB85" s="0" t="n">
        <v>2</v>
      </c>
      <c r="AC85" s="0" t="n">
        <v>2</v>
      </c>
      <c r="AD85" s="0" t="n">
        <v>3</v>
      </c>
      <c r="AE85" s="0" t="n">
        <v>2</v>
      </c>
      <c r="AF85" s="0" t="n">
        <v>1</v>
      </c>
      <c r="AG85" s="0" t="n">
        <v>3</v>
      </c>
      <c r="AI85" s="0" t="n">
        <f aca="false">AVERAGE(B85:AG85)</f>
        <v>2.3125</v>
      </c>
      <c r="AJ85" s="0" t="n">
        <f aca="false">STDEVP(B85:AG85)</f>
        <v>0.681794507164732</v>
      </c>
      <c r="AK85" s="0" t="n">
        <f aca="false">1.96*AJ85/SQRT(32)</f>
        <v>0.236229744502042</v>
      </c>
    </row>
    <row r="86" customFormat="false" ht="15" hidden="false" customHeight="false" outlineLevel="0" collapsed="false">
      <c r="A86" s="0" t="s">
        <v>87</v>
      </c>
      <c r="B86" s="0" t="n">
        <v>2</v>
      </c>
      <c r="C86" s="0" t="n">
        <v>2</v>
      </c>
      <c r="D86" s="0" t="n">
        <v>2</v>
      </c>
      <c r="E86" s="0" t="n">
        <v>2</v>
      </c>
      <c r="F86" s="0" t="n">
        <v>2</v>
      </c>
      <c r="G86" s="0" t="n">
        <v>3</v>
      </c>
      <c r="H86" s="0" t="n">
        <v>2</v>
      </c>
      <c r="I86" s="0" t="n">
        <v>3</v>
      </c>
      <c r="J86" s="0" t="n">
        <v>3</v>
      </c>
      <c r="K86" s="0" t="n">
        <v>2</v>
      </c>
      <c r="L86" s="0" t="n">
        <v>3</v>
      </c>
      <c r="M86" s="0" t="n">
        <v>3</v>
      </c>
      <c r="N86" s="0" t="n">
        <v>3</v>
      </c>
      <c r="O86" s="0" t="n">
        <v>2</v>
      </c>
      <c r="P86" s="0" t="n">
        <v>2</v>
      </c>
      <c r="Q86" s="0" t="n">
        <v>1</v>
      </c>
      <c r="R86" s="0" t="n">
        <v>3</v>
      </c>
      <c r="S86" s="0" t="n">
        <v>2</v>
      </c>
      <c r="T86" s="0" t="n">
        <v>3</v>
      </c>
      <c r="U86" s="0" t="n">
        <v>3</v>
      </c>
      <c r="V86" s="0" t="n">
        <v>2</v>
      </c>
      <c r="W86" s="0" t="n">
        <v>2</v>
      </c>
      <c r="X86" s="0" t="n">
        <v>3</v>
      </c>
      <c r="Y86" s="0" t="n">
        <v>1</v>
      </c>
      <c r="Z86" s="0" t="n">
        <v>2</v>
      </c>
      <c r="AA86" s="0" t="n">
        <v>3</v>
      </c>
      <c r="AB86" s="0" t="n">
        <v>2</v>
      </c>
      <c r="AC86" s="0" t="n">
        <v>2</v>
      </c>
      <c r="AD86" s="0" t="n">
        <v>2</v>
      </c>
      <c r="AE86" s="0" t="n">
        <v>3</v>
      </c>
      <c r="AF86" s="0" t="n">
        <v>1</v>
      </c>
      <c r="AG86" s="0" t="n">
        <v>2</v>
      </c>
      <c r="AI86" s="0" t="n">
        <f aca="false">AVERAGE(B86:AG86)</f>
        <v>2.28125</v>
      </c>
      <c r="AJ86" s="0" t="n">
        <f aca="false">STDEVP(B86:AG86)</f>
        <v>0.624218261107443</v>
      </c>
      <c r="AK86" s="0" t="n">
        <f aca="false">1.96*AJ86/SQRT(32)</f>
        <v>0.216280593031078</v>
      </c>
    </row>
    <row r="87" customFormat="false" ht="15" hidden="false" customHeight="false" outlineLevel="0" collapsed="false">
      <c r="A87" s="0" t="s">
        <v>88</v>
      </c>
      <c r="B87" s="0" t="n">
        <v>2</v>
      </c>
      <c r="C87" s="0" t="n">
        <v>1</v>
      </c>
      <c r="D87" s="0" t="n">
        <v>2</v>
      </c>
      <c r="E87" s="0" t="n">
        <v>2</v>
      </c>
      <c r="F87" s="0" t="n">
        <v>1</v>
      </c>
      <c r="G87" s="0" t="n">
        <v>2</v>
      </c>
      <c r="H87" s="0" t="n">
        <v>1</v>
      </c>
      <c r="I87" s="0" t="n">
        <v>2</v>
      </c>
      <c r="J87" s="0" t="n">
        <v>1</v>
      </c>
      <c r="K87" s="0" t="n">
        <v>1</v>
      </c>
      <c r="L87" s="0" t="n">
        <v>2</v>
      </c>
      <c r="M87" s="0" t="n">
        <v>1</v>
      </c>
      <c r="N87" s="0" t="n">
        <v>1</v>
      </c>
      <c r="O87" s="0" t="n">
        <v>2</v>
      </c>
      <c r="P87" s="0" t="n">
        <v>1</v>
      </c>
      <c r="Q87" s="0" t="n">
        <v>1</v>
      </c>
      <c r="R87" s="0" t="n">
        <v>2</v>
      </c>
      <c r="S87" s="0" t="n">
        <v>2</v>
      </c>
      <c r="T87" s="0" t="n">
        <v>1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3</v>
      </c>
      <c r="Z87" s="0" t="n">
        <v>1</v>
      </c>
      <c r="AA87" s="0" t="n">
        <v>2</v>
      </c>
      <c r="AB87" s="0" t="n">
        <v>1</v>
      </c>
      <c r="AC87" s="0" t="n">
        <v>2</v>
      </c>
      <c r="AD87" s="0" t="n">
        <v>1</v>
      </c>
      <c r="AE87" s="0" t="n">
        <v>1</v>
      </c>
      <c r="AF87" s="0" t="n">
        <v>1</v>
      </c>
      <c r="AG87" s="0" t="n">
        <v>1</v>
      </c>
      <c r="AI87" s="0" t="n">
        <f aca="false">AVERAGE(B87:AG87)</f>
        <v>1.40625</v>
      </c>
      <c r="AJ87" s="0" t="n">
        <f aca="false">STDEVP(B87:AG87)</f>
        <v>0.551099752767137</v>
      </c>
      <c r="AK87" s="0" t="n">
        <f aca="false">1.96*AJ87/SQRT(32)</f>
        <v>0.190946322423018</v>
      </c>
    </row>
    <row r="88" customFormat="false" ht="15" hidden="false" customHeight="false" outlineLevel="0" collapsed="false">
      <c r="A88" s="0" t="s">
        <v>89</v>
      </c>
      <c r="B88" s="0" t="n">
        <v>2</v>
      </c>
      <c r="C88" s="0" t="n">
        <v>1</v>
      </c>
      <c r="D88" s="0" t="n">
        <v>2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3</v>
      </c>
      <c r="J88" s="0" t="n">
        <v>1</v>
      </c>
      <c r="K88" s="0" t="n">
        <v>1</v>
      </c>
      <c r="L88" s="0" t="n">
        <v>2</v>
      </c>
      <c r="M88" s="0" t="n">
        <v>2</v>
      </c>
      <c r="N88" s="0" t="n">
        <v>2</v>
      </c>
      <c r="O88" s="0" t="n">
        <v>3</v>
      </c>
      <c r="P88" s="0" t="n">
        <v>1</v>
      </c>
      <c r="Q88" s="0" t="n">
        <v>1</v>
      </c>
      <c r="R88" s="0" t="n">
        <v>2</v>
      </c>
      <c r="S88" s="0" t="n">
        <v>2</v>
      </c>
      <c r="T88" s="0" t="n">
        <v>1</v>
      </c>
      <c r="U88" s="0" t="n">
        <v>1</v>
      </c>
      <c r="V88" s="0" t="n">
        <v>2</v>
      </c>
      <c r="W88" s="0" t="n">
        <v>2</v>
      </c>
      <c r="X88" s="0" t="n">
        <v>1</v>
      </c>
      <c r="Y88" s="0" t="n">
        <v>3</v>
      </c>
      <c r="Z88" s="0" t="n">
        <v>1</v>
      </c>
      <c r="AA88" s="0" t="n">
        <v>2</v>
      </c>
      <c r="AB88" s="0" t="n">
        <v>1</v>
      </c>
      <c r="AC88" s="0" t="n">
        <v>2</v>
      </c>
      <c r="AD88" s="0" t="n">
        <v>2</v>
      </c>
      <c r="AE88" s="0" t="n">
        <v>2</v>
      </c>
      <c r="AF88" s="0" t="n">
        <v>1</v>
      </c>
      <c r="AG88" s="0" t="n">
        <v>2</v>
      </c>
      <c r="AI88" s="0" t="n">
        <f aca="false">AVERAGE(B88:AG88)</f>
        <v>1.6875</v>
      </c>
      <c r="AJ88" s="0" t="n">
        <f aca="false">STDEVP(B88:AG88)</f>
        <v>0.634305722818264</v>
      </c>
      <c r="AK88" s="0" t="n">
        <f aca="false">1.96*AJ88/SQRT(32)</f>
        <v>0.219775720195612</v>
      </c>
    </row>
    <row r="89" customFormat="false" ht="15" hidden="false" customHeight="false" outlineLevel="0" collapsed="false">
      <c r="A89" s="0" t="s">
        <v>90</v>
      </c>
      <c r="B89" s="0" t="n">
        <v>2</v>
      </c>
      <c r="C89" s="0" t="n">
        <v>2</v>
      </c>
      <c r="D89" s="0" t="n">
        <v>1</v>
      </c>
      <c r="E89" s="0" t="n">
        <v>2</v>
      </c>
      <c r="F89" s="0" t="n">
        <v>1</v>
      </c>
      <c r="G89" s="0" t="n">
        <v>3</v>
      </c>
      <c r="H89" s="0" t="n">
        <v>2</v>
      </c>
      <c r="I89" s="0" t="n">
        <v>3</v>
      </c>
      <c r="J89" s="0" t="n">
        <v>3</v>
      </c>
      <c r="K89" s="0" t="n">
        <v>2</v>
      </c>
      <c r="L89" s="0" t="n">
        <v>2</v>
      </c>
      <c r="M89" s="0" t="n">
        <v>3</v>
      </c>
      <c r="N89" s="0" t="n">
        <v>3</v>
      </c>
      <c r="O89" s="0" t="n">
        <v>3</v>
      </c>
      <c r="P89" s="0" t="n">
        <v>2</v>
      </c>
      <c r="Q89" s="0" t="n">
        <v>1</v>
      </c>
      <c r="R89" s="0" t="n">
        <v>2</v>
      </c>
      <c r="S89" s="0" t="n">
        <v>1</v>
      </c>
      <c r="T89" s="0" t="n">
        <v>2</v>
      </c>
      <c r="U89" s="0" t="n">
        <v>2</v>
      </c>
      <c r="V89" s="0" t="n">
        <v>2</v>
      </c>
      <c r="W89" s="0" t="n">
        <v>1</v>
      </c>
      <c r="X89" s="0" t="n">
        <v>2</v>
      </c>
      <c r="Y89" s="0" t="n">
        <v>1</v>
      </c>
      <c r="Z89" s="0" t="n">
        <v>2</v>
      </c>
      <c r="AA89" s="0" t="n">
        <v>2</v>
      </c>
      <c r="AB89" s="0" t="n">
        <v>1</v>
      </c>
      <c r="AC89" s="0" t="n">
        <v>2</v>
      </c>
      <c r="AD89" s="0" t="n">
        <v>2</v>
      </c>
      <c r="AE89" s="0" t="n">
        <v>2</v>
      </c>
      <c r="AF89" s="0" t="n">
        <v>1</v>
      </c>
      <c r="AG89" s="0" t="n">
        <v>2</v>
      </c>
      <c r="AI89" s="0" t="n">
        <f aca="false">AVERAGE(B89:AG89)</f>
        <v>1.9375</v>
      </c>
      <c r="AJ89" s="0" t="n">
        <f aca="false">STDEVP(B89:AG89)</f>
        <v>0.658478359553296</v>
      </c>
      <c r="AK89" s="0" t="n">
        <f aca="false">1.96*AJ89/SQRT(32)</f>
        <v>0.228151111519317</v>
      </c>
    </row>
    <row r="90" customFormat="false" ht="15" hidden="false" customHeight="false" outlineLevel="0" collapsed="false">
      <c r="A90" s="0" t="s">
        <v>91</v>
      </c>
      <c r="B90" s="0" t="n">
        <v>2</v>
      </c>
      <c r="C90" s="0" t="n">
        <v>2</v>
      </c>
      <c r="D90" s="0" t="n">
        <v>2</v>
      </c>
      <c r="E90" s="0" t="n">
        <v>3</v>
      </c>
      <c r="F90" s="0" t="n">
        <v>1</v>
      </c>
      <c r="G90" s="0" t="n">
        <v>3</v>
      </c>
      <c r="H90" s="0" t="n">
        <v>2</v>
      </c>
      <c r="I90" s="0" t="n">
        <v>3</v>
      </c>
      <c r="J90" s="0" t="n">
        <v>2</v>
      </c>
      <c r="K90" s="0" t="n">
        <v>1</v>
      </c>
      <c r="L90" s="0" t="n">
        <v>2</v>
      </c>
      <c r="M90" s="0" t="n">
        <v>3</v>
      </c>
      <c r="N90" s="0" t="n">
        <v>3</v>
      </c>
      <c r="O90" s="0" t="n">
        <v>3</v>
      </c>
      <c r="P90" s="0" t="n">
        <v>2</v>
      </c>
      <c r="Q90" s="0" t="n">
        <v>1</v>
      </c>
      <c r="R90" s="0" t="n">
        <v>2</v>
      </c>
      <c r="S90" s="0" t="n">
        <v>1</v>
      </c>
      <c r="T90" s="0" t="n">
        <v>3</v>
      </c>
      <c r="U90" s="0" t="n">
        <v>2</v>
      </c>
      <c r="V90" s="0" t="n">
        <v>2</v>
      </c>
      <c r="W90" s="0" t="n">
        <v>1</v>
      </c>
      <c r="X90" s="0" t="n">
        <v>2</v>
      </c>
      <c r="Y90" s="0" t="n">
        <v>3</v>
      </c>
      <c r="Z90" s="0" t="n">
        <v>2</v>
      </c>
      <c r="AA90" s="0" t="n">
        <v>2</v>
      </c>
      <c r="AB90" s="0" t="n">
        <v>1</v>
      </c>
      <c r="AC90" s="0" t="n">
        <v>3</v>
      </c>
      <c r="AD90" s="0" t="n">
        <v>2</v>
      </c>
      <c r="AE90" s="0" t="n">
        <v>2</v>
      </c>
      <c r="AF90" s="0" t="n">
        <v>1</v>
      </c>
      <c r="AG90" s="0" t="n">
        <v>2</v>
      </c>
      <c r="AI90" s="0" t="n">
        <f aca="false">AVERAGE(B90:AG90)</f>
        <v>2.0625</v>
      </c>
      <c r="AJ90" s="0" t="n">
        <f aca="false">STDEVP(B90:AG90)</f>
        <v>0.70433922934904</v>
      </c>
      <c r="AK90" s="0" t="n">
        <f aca="false">1.96*AJ90/SQRT(32)</f>
        <v>0.244041092210923</v>
      </c>
    </row>
    <row r="91" customFormat="false" ht="15" hidden="false" customHeight="false" outlineLevel="0" collapsed="false">
      <c r="A91" s="0" t="s">
        <v>92</v>
      </c>
      <c r="B91" s="0" t="n">
        <v>2</v>
      </c>
      <c r="C91" s="0" t="n">
        <v>1</v>
      </c>
      <c r="D91" s="0" t="n">
        <v>1</v>
      </c>
      <c r="E91" s="0" t="n">
        <v>2</v>
      </c>
      <c r="F91" s="0" t="n">
        <v>1</v>
      </c>
      <c r="G91" s="0" t="n">
        <v>2</v>
      </c>
      <c r="H91" s="0" t="n">
        <v>1</v>
      </c>
      <c r="I91" s="0" t="n">
        <v>3</v>
      </c>
      <c r="J91" s="0" t="n">
        <v>1</v>
      </c>
      <c r="K91" s="0" t="n">
        <v>1</v>
      </c>
      <c r="L91" s="0" t="n">
        <v>1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1</v>
      </c>
      <c r="R91" s="0" t="n">
        <v>3</v>
      </c>
      <c r="S91" s="0" t="n">
        <v>2</v>
      </c>
      <c r="T91" s="0" t="n">
        <v>2</v>
      </c>
      <c r="U91" s="0" t="n">
        <v>2</v>
      </c>
      <c r="V91" s="0" t="n">
        <v>2</v>
      </c>
      <c r="W91" s="0" t="n">
        <v>1</v>
      </c>
      <c r="X91" s="0" t="n">
        <v>2</v>
      </c>
      <c r="Y91" s="0" t="n">
        <v>2</v>
      </c>
      <c r="Z91" s="0" t="n">
        <v>1</v>
      </c>
      <c r="AA91" s="0" t="n">
        <v>2</v>
      </c>
      <c r="AB91" s="0" t="n">
        <v>2</v>
      </c>
      <c r="AC91" s="0" t="n">
        <v>2</v>
      </c>
      <c r="AD91" s="0" t="n">
        <v>1</v>
      </c>
      <c r="AE91" s="0" t="n">
        <v>1</v>
      </c>
      <c r="AF91" s="0" t="n">
        <v>1</v>
      </c>
      <c r="AG91" s="0" t="n">
        <v>1</v>
      </c>
      <c r="AI91" s="0" t="n">
        <f aca="false">AVERAGE(B91:AG91)</f>
        <v>1.5625</v>
      </c>
      <c r="AJ91" s="0" t="n">
        <f aca="false">STDEVP(B91:AG91)</f>
        <v>0.60917464655056</v>
      </c>
      <c r="AK91" s="0" t="n">
        <f aca="false">1.96*AJ91/SQRT(32)</f>
        <v>0.211068246516382</v>
      </c>
    </row>
    <row r="92" customFormat="false" ht="15" hidden="false" customHeight="false" outlineLevel="0" collapsed="false">
      <c r="A92" s="0" t="s">
        <v>93</v>
      </c>
      <c r="B92" s="0" t="n">
        <v>2</v>
      </c>
      <c r="C92" s="0" t="n">
        <v>2</v>
      </c>
      <c r="D92" s="0" t="n">
        <v>2</v>
      </c>
      <c r="E92" s="0" t="n">
        <v>2</v>
      </c>
      <c r="F92" s="0" t="n">
        <v>1</v>
      </c>
      <c r="G92" s="0" t="n">
        <v>2</v>
      </c>
      <c r="H92" s="0" t="n">
        <v>1</v>
      </c>
      <c r="I92" s="0" t="n">
        <v>3</v>
      </c>
      <c r="J92" s="0" t="n">
        <v>2</v>
      </c>
      <c r="K92" s="0" t="n">
        <v>1</v>
      </c>
      <c r="L92" s="0" t="n">
        <v>2</v>
      </c>
      <c r="M92" s="0" t="n">
        <v>3</v>
      </c>
      <c r="N92" s="0" t="n">
        <v>2</v>
      </c>
      <c r="O92" s="0" t="n">
        <v>2</v>
      </c>
      <c r="P92" s="0" t="n">
        <v>1</v>
      </c>
      <c r="Q92" s="0" t="n">
        <v>1</v>
      </c>
      <c r="R92" s="0" t="n">
        <v>3</v>
      </c>
      <c r="S92" s="0" t="n">
        <v>1</v>
      </c>
      <c r="T92" s="0" t="n">
        <v>2</v>
      </c>
      <c r="U92" s="0" t="n">
        <v>2</v>
      </c>
      <c r="V92" s="0" t="n">
        <v>2</v>
      </c>
      <c r="W92" s="0" t="n">
        <v>3</v>
      </c>
      <c r="X92" s="0" t="n">
        <v>1</v>
      </c>
      <c r="Y92" s="0" t="n">
        <v>1</v>
      </c>
      <c r="Z92" s="0" t="n">
        <v>2</v>
      </c>
      <c r="AA92" s="0" t="n">
        <v>2</v>
      </c>
      <c r="AB92" s="0" t="n">
        <v>3</v>
      </c>
      <c r="AC92" s="0" t="n">
        <v>2</v>
      </c>
      <c r="AD92" s="0" t="n">
        <v>1</v>
      </c>
      <c r="AE92" s="0" t="n">
        <v>3</v>
      </c>
      <c r="AF92" s="0" t="n">
        <v>1</v>
      </c>
      <c r="AG92" s="0" t="n">
        <v>2</v>
      </c>
      <c r="AI92" s="0" t="n">
        <f aca="false">AVERAGE(B92:AG92)</f>
        <v>1.875</v>
      </c>
      <c r="AJ92" s="0" t="n">
        <f aca="false">STDEVP(B92:AG92)</f>
        <v>0.695970545353753</v>
      </c>
      <c r="AK92" s="0" t="n">
        <f aca="false">1.96*AJ92/SQRT(32)</f>
        <v>0.241141491141612</v>
      </c>
    </row>
    <row r="93" customFormat="false" ht="15" hidden="false" customHeight="false" outlineLevel="0" collapsed="false">
      <c r="A93" s="0" t="s">
        <v>94</v>
      </c>
      <c r="B93" s="0" t="n">
        <v>3</v>
      </c>
      <c r="C93" s="0" t="n">
        <v>3</v>
      </c>
      <c r="D93" s="0" t="n">
        <v>2</v>
      </c>
      <c r="E93" s="0" t="n">
        <v>3</v>
      </c>
      <c r="F93" s="0" t="n">
        <v>2</v>
      </c>
      <c r="G93" s="0" t="n">
        <v>3</v>
      </c>
      <c r="H93" s="0" t="n">
        <v>2</v>
      </c>
      <c r="I93" s="0" t="n">
        <v>3</v>
      </c>
      <c r="J93" s="0" t="n">
        <v>2</v>
      </c>
      <c r="K93" s="0" t="n">
        <v>2</v>
      </c>
      <c r="L93" s="0" t="n">
        <v>3</v>
      </c>
      <c r="M93" s="0" t="n">
        <v>3</v>
      </c>
      <c r="N93" s="0" t="n">
        <v>3</v>
      </c>
      <c r="O93" s="0" t="n">
        <v>3</v>
      </c>
      <c r="P93" s="0" t="n">
        <v>2</v>
      </c>
      <c r="Q93" s="0" t="n">
        <v>1</v>
      </c>
      <c r="R93" s="0" t="n">
        <v>3</v>
      </c>
      <c r="S93" s="0" t="n">
        <v>1</v>
      </c>
      <c r="T93" s="0" t="n">
        <v>2</v>
      </c>
      <c r="U93" s="0" t="n">
        <v>3</v>
      </c>
      <c r="V93" s="0" t="n">
        <v>2</v>
      </c>
      <c r="W93" s="0" t="n">
        <v>2</v>
      </c>
      <c r="X93" s="0" t="n">
        <v>3</v>
      </c>
      <c r="Y93" s="0" t="n">
        <v>1</v>
      </c>
      <c r="Z93" s="0" t="n">
        <v>2</v>
      </c>
      <c r="AA93" s="0" t="n">
        <v>3</v>
      </c>
      <c r="AB93" s="0" t="n">
        <v>2</v>
      </c>
      <c r="AC93" s="0" t="n">
        <v>3</v>
      </c>
      <c r="AD93" s="0" t="n">
        <v>2</v>
      </c>
      <c r="AE93" s="0" t="n">
        <v>2</v>
      </c>
      <c r="AF93" s="0" t="n">
        <v>1</v>
      </c>
      <c r="AG93" s="0" t="n">
        <v>2</v>
      </c>
      <c r="AI93" s="0" t="n">
        <f aca="false">AVERAGE(B93:AG93)</f>
        <v>2.3125</v>
      </c>
      <c r="AJ93" s="0" t="n">
        <f aca="false">STDEVP(B93:AG93)</f>
        <v>0.681794507164732</v>
      </c>
      <c r="AK93" s="0" t="n">
        <f aca="false">1.96*AJ93/SQRT(32)</f>
        <v>0.236229744502042</v>
      </c>
    </row>
    <row r="94" customFormat="false" ht="15" hidden="false" customHeight="false" outlineLevel="0" collapsed="false">
      <c r="A94" s="0" t="s">
        <v>95</v>
      </c>
      <c r="B94" s="0" t="n">
        <v>2</v>
      </c>
      <c r="C94" s="0" t="n">
        <v>3</v>
      </c>
      <c r="D94" s="0" t="n">
        <v>2</v>
      </c>
      <c r="E94" s="0" t="n">
        <v>2</v>
      </c>
      <c r="F94" s="0" t="n">
        <v>4</v>
      </c>
      <c r="G94" s="0" t="n">
        <v>3</v>
      </c>
      <c r="H94" s="0" t="n">
        <v>2</v>
      </c>
      <c r="I94" s="0" t="n">
        <v>3</v>
      </c>
      <c r="J94" s="0" t="n">
        <v>3</v>
      </c>
      <c r="K94" s="0" t="n">
        <v>2</v>
      </c>
      <c r="L94" s="0" t="n">
        <v>3</v>
      </c>
      <c r="M94" s="0" t="n">
        <v>3</v>
      </c>
      <c r="N94" s="0" t="n">
        <v>3</v>
      </c>
      <c r="O94" s="0" t="n">
        <v>3</v>
      </c>
      <c r="P94" s="0" t="n">
        <v>3</v>
      </c>
      <c r="Q94" s="0" t="n">
        <v>1</v>
      </c>
      <c r="R94" s="0" t="n">
        <v>3</v>
      </c>
      <c r="S94" s="0" t="n">
        <v>3</v>
      </c>
      <c r="T94" s="0" t="n">
        <v>3</v>
      </c>
      <c r="U94" s="0" t="n">
        <v>3</v>
      </c>
      <c r="V94" s="0" t="n">
        <v>2</v>
      </c>
      <c r="W94" s="0" t="n">
        <v>1</v>
      </c>
      <c r="X94" s="0" t="n">
        <v>4</v>
      </c>
      <c r="Y94" s="0" t="n">
        <v>1</v>
      </c>
      <c r="Z94" s="0" t="n">
        <v>2</v>
      </c>
      <c r="AA94" s="0" t="n">
        <v>3</v>
      </c>
      <c r="AB94" s="0" t="n">
        <v>2</v>
      </c>
      <c r="AC94" s="0" t="n">
        <v>3</v>
      </c>
      <c r="AD94" s="0" t="n">
        <v>2</v>
      </c>
      <c r="AE94" s="0" t="n">
        <v>2</v>
      </c>
      <c r="AF94" s="0" t="n">
        <v>1</v>
      </c>
      <c r="AG94" s="0" t="n">
        <v>3</v>
      </c>
      <c r="AI94" s="0" t="n">
        <f aca="false">AVERAGE(B94:AG94)</f>
        <v>2.5</v>
      </c>
      <c r="AJ94" s="0" t="n">
        <f aca="false">STDEVP(B94:AG94)</f>
        <v>0.790569415042095</v>
      </c>
      <c r="AK94" s="0" t="n">
        <f aca="false">1.96*AJ94/SQRT(32)</f>
        <v>0.273918327243724</v>
      </c>
    </row>
    <row r="95" customFormat="false" ht="15" hidden="false" customHeight="false" outlineLevel="0" collapsed="false">
      <c r="A95" s="0" t="s">
        <v>96</v>
      </c>
      <c r="B95" s="0" t="n">
        <v>2</v>
      </c>
      <c r="C95" s="0" t="n">
        <v>1</v>
      </c>
      <c r="D95" s="0" t="n">
        <v>1</v>
      </c>
      <c r="E95" s="0" t="n">
        <v>3</v>
      </c>
      <c r="F95" s="0" t="n">
        <v>1</v>
      </c>
      <c r="G95" s="0" t="n">
        <v>2</v>
      </c>
      <c r="H95" s="0" t="n">
        <v>1</v>
      </c>
      <c r="I95" s="0" t="n">
        <v>3</v>
      </c>
      <c r="J95" s="0" t="n">
        <v>1</v>
      </c>
      <c r="K95" s="0" t="n">
        <v>1</v>
      </c>
      <c r="L95" s="0" t="n">
        <v>1</v>
      </c>
      <c r="M95" s="0" t="n">
        <v>2</v>
      </c>
      <c r="N95" s="0" t="n">
        <v>2</v>
      </c>
      <c r="O95" s="0" t="n">
        <v>1</v>
      </c>
      <c r="P95" s="0" t="n">
        <v>2</v>
      </c>
      <c r="Q95" s="0" t="n">
        <v>1</v>
      </c>
      <c r="R95" s="0" t="n">
        <v>3</v>
      </c>
      <c r="S95" s="0" t="n">
        <v>1</v>
      </c>
      <c r="T95" s="0" t="n">
        <v>1</v>
      </c>
      <c r="U95" s="0" t="n">
        <v>2</v>
      </c>
      <c r="V95" s="0" t="n">
        <v>2</v>
      </c>
      <c r="W95" s="0" t="n">
        <v>2</v>
      </c>
      <c r="X95" s="0" t="n">
        <v>2</v>
      </c>
      <c r="Y95" s="0" t="n">
        <v>1</v>
      </c>
      <c r="Z95" s="0" t="n">
        <v>2</v>
      </c>
      <c r="AA95" s="0" t="n">
        <v>2</v>
      </c>
      <c r="AB95" s="0" t="n">
        <v>1</v>
      </c>
      <c r="AC95" s="0" t="n">
        <v>2</v>
      </c>
      <c r="AD95" s="0" t="n">
        <v>1</v>
      </c>
      <c r="AE95" s="0" t="n">
        <v>2</v>
      </c>
      <c r="AF95" s="0" t="n">
        <v>1</v>
      </c>
      <c r="AG95" s="0" t="n">
        <v>2</v>
      </c>
      <c r="AI95" s="0" t="n">
        <f aca="false">AVERAGE(B95:AG95)</f>
        <v>1.625</v>
      </c>
      <c r="AJ95" s="0" t="n">
        <f aca="false">STDEVP(B95:AG95)</f>
        <v>0.649519052838329</v>
      </c>
      <c r="AK95" s="0" t="n">
        <f aca="false">1.96*AJ95/SQRT(32)</f>
        <v>0.225046870118204</v>
      </c>
    </row>
    <row r="96" customFormat="false" ht="15" hidden="false" customHeight="false" outlineLevel="0" collapsed="false">
      <c r="A96" s="0" t="s">
        <v>97</v>
      </c>
      <c r="B96" s="0" t="n">
        <v>2</v>
      </c>
      <c r="C96" s="0" t="n">
        <v>2</v>
      </c>
      <c r="D96" s="0" t="n">
        <v>2</v>
      </c>
      <c r="E96" s="0" t="n">
        <v>2</v>
      </c>
      <c r="F96" s="0" t="n">
        <v>1</v>
      </c>
      <c r="G96" s="0" t="n">
        <v>3</v>
      </c>
      <c r="H96" s="0" t="n">
        <v>1</v>
      </c>
      <c r="I96" s="0" t="n">
        <v>3</v>
      </c>
      <c r="J96" s="0" t="n">
        <v>1</v>
      </c>
      <c r="K96" s="0" t="n">
        <v>1</v>
      </c>
      <c r="L96" s="0" t="n">
        <v>2</v>
      </c>
      <c r="M96" s="0" t="n">
        <v>2</v>
      </c>
      <c r="N96" s="0" t="n">
        <v>3</v>
      </c>
      <c r="O96" s="0" t="n">
        <v>2</v>
      </c>
      <c r="P96" s="0" t="n">
        <v>1</v>
      </c>
      <c r="Q96" s="0" t="n">
        <v>1</v>
      </c>
      <c r="R96" s="0" t="n">
        <v>3</v>
      </c>
      <c r="S96" s="0" t="n">
        <v>1</v>
      </c>
      <c r="T96" s="0" t="n">
        <v>1</v>
      </c>
      <c r="U96" s="0" t="n">
        <v>2</v>
      </c>
      <c r="V96" s="0" t="n">
        <v>2</v>
      </c>
      <c r="W96" s="0" t="n">
        <v>1</v>
      </c>
      <c r="X96" s="0" t="n">
        <v>2</v>
      </c>
      <c r="Y96" s="0" t="n">
        <v>1</v>
      </c>
      <c r="Z96" s="0" t="n">
        <v>2</v>
      </c>
      <c r="AA96" s="0" t="n">
        <v>2</v>
      </c>
      <c r="AB96" s="0" t="n">
        <v>1</v>
      </c>
      <c r="AC96" s="0" t="n">
        <v>2</v>
      </c>
      <c r="AD96" s="0" t="n">
        <v>2</v>
      </c>
      <c r="AE96" s="0" t="n">
        <v>2</v>
      </c>
      <c r="AF96" s="0" t="n">
        <v>1</v>
      </c>
      <c r="AG96" s="0" t="n">
        <v>2</v>
      </c>
      <c r="AI96" s="0" t="n">
        <f aca="false">AVERAGE(B96:AG96)</f>
        <v>1.75</v>
      </c>
      <c r="AJ96" s="0" t="n">
        <f aca="false">STDEVP(B96:AG96)</f>
        <v>0.661437827766148</v>
      </c>
      <c r="AK96" s="0" t="n">
        <f aca="false">1.96*AJ96/SQRT(32)</f>
        <v>0.229176514939904</v>
      </c>
    </row>
    <row r="97" customFormat="false" ht="15" hidden="false" customHeight="false" outlineLevel="0" collapsed="false">
      <c r="A97" s="0" t="s">
        <v>98</v>
      </c>
      <c r="B97" s="0" t="n">
        <v>2</v>
      </c>
      <c r="C97" s="0" t="n">
        <v>2</v>
      </c>
      <c r="D97" s="0" t="n">
        <v>2</v>
      </c>
      <c r="E97" s="0" t="n">
        <v>2</v>
      </c>
      <c r="F97" s="0" t="n">
        <v>2</v>
      </c>
      <c r="G97" s="0" t="n">
        <v>3</v>
      </c>
      <c r="H97" s="0" t="n">
        <v>2</v>
      </c>
      <c r="I97" s="0" t="n">
        <v>3</v>
      </c>
      <c r="J97" s="0" t="n">
        <v>2</v>
      </c>
      <c r="K97" s="0" t="n">
        <v>2</v>
      </c>
      <c r="L97" s="0" t="n">
        <v>3</v>
      </c>
      <c r="M97" s="0" t="n">
        <v>2</v>
      </c>
      <c r="N97" s="0" t="n">
        <v>3</v>
      </c>
      <c r="O97" s="0" t="n">
        <v>3</v>
      </c>
      <c r="P97" s="0" t="n">
        <v>2</v>
      </c>
      <c r="Q97" s="0" t="n">
        <v>1</v>
      </c>
      <c r="R97" s="0" t="n">
        <v>3</v>
      </c>
      <c r="S97" s="0" t="n">
        <v>2</v>
      </c>
      <c r="T97" s="0" t="n">
        <v>2</v>
      </c>
      <c r="U97" s="0" t="n">
        <v>3</v>
      </c>
      <c r="V97" s="0" t="n">
        <v>3</v>
      </c>
      <c r="W97" s="0" t="n">
        <v>3</v>
      </c>
      <c r="X97" s="0" t="n">
        <v>2</v>
      </c>
      <c r="Y97" s="0" t="n">
        <v>1</v>
      </c>
      <c r="Z97" s="0" t="n">
        <v>2</v>
      </c>
      <c r="AA97" s="0" t="n">
        <v>2</v>
      </c>
      <c r="AB97" s="0" t="n">
        <v>2</v>
      </c>
      <c r="AC97" s="0" t="n">
        <v>2</v>
      </c>
      <c r="AD97" s="0" t="n">
        <v>2</v>
      </c>
      <c r="AE97" s="0" t="n">
        <v>3</v>
      </c>
      <c r="AF97" s="0" t="n">
        <v>1</v>
      </c>
      <c r="AG97" s="0" t="n">
        <v>2</v>
      </c>
      <c r="AI97" s="0" t="n">
        <f aca="false">AVERAGE(B97:AG97)</f>
        <v>2.21875</v>
      </c>
      <c r="AJ97" s="0" t="n">
        <f aca="false">STDEVP(B97:AG97)</f>
        <v>0.598663876895876</v>
      </c>
      <c r="AK97" s="0" t="n">
        <f aca="false">1.96*AJ97/SQRT(32)</f>
        <v>0.207426450632206</v>
      </c>
    </row>
    <row r="98" customFormat="false" ht="15" hidden="false" customHeight="false" outlineLevel="0" collapsed="false">
      <c r="A98" s="0" t="s">
        <v>99</v>
      </c>
      <c r="B98" s="0" t="n">
        <v>2</v>
      </c>
      <c r="C98" s="0" t="n">
        <v>2</v>
      </c>
      <c r="D98" s="0" t="n">
        <v>3</v>
      </c>
      <c r="E98" s="0" t="n">
        <v>2</v>
      </c>
      <c r="F98" s="0" t="n">
        <v>2</v>
      </c>
      <c r="G98" s="0" t="n">
        <v>3</v>
      </c>
      <c r="H98" s="0" t="n">
        <v>2</v>
      </c>
      <c r="I98" s="0" t="n">
        <v>3</v>
      </c>
      <c r="J98" s="0" t="n">
        <v>2</v>
      </c>
      <c r="K98" s="0" t="n">
        <v>2</v>
      </c>
      <c r="L98" s="0" t="n">
        <v>3</v>
      </c>
      <c r="M98" s="0" t="n">
        <v>3</v>
      </c>
      <c r="N98" s="0" t="n">
        <v>3</v>
      </c>
      <c r="O98" s="0" t="n">
        <v>3</v>
      </c>
      <c r="P98" s="0" t="n">
        <v>2</v>
      </c>
      <c r="Q98" s="0" t="n">
        <v>1</v>
      </c>
      <c r="R98" s="0" t="n">
        <v>3</v>
      </c>
      <c r="S98" s="0" t="n">
        <v>2</v>
      </c>
      <c r="T98" s="0" t="n">
        <v>3</v>
      </c>
      <c r="U98" s="0" t="n">
        <v>2</v>
      </c>
      <c r="V98" s="0" t="n">
        <v>3</v>
      </c>
      <c r="W98" s="0" t="n">
        <v>2</v>
      </c>
      <c r="X98" s="0" t="n">
        <v>3</v>
      </c>
      <c r="Y98" s="0" t="n">
        <v>3</v>
      </c>
      <c r="Z98" s="0" t="n">
        <v>2</v>
      </c>
      <c r="AA98" s="0" t="n">
        <v>2</v>
      </c>
      <c r="AB98" s="0" t="n">
        <v>1</v>
      </c>
      <c r="AC98" s="0" t="n">
        <v>2</v>
      </c>
      <c r="AD98" s="0" t="n">
        <v>2</v>
      </c>
      <c r="AE98" s="0" t="n">
        <v>3</v>
      </c>
      <c r="AF98" s="0" t="n">
        <v>1</v>
      </c>
      <c r="AG98" s="0" t="n">
        <v>3</v>
      </c>
      <c r="AI98" s="0" t="n">
        <f aca="false">AVERAGE(B98:AG98)</f>
        <v>2.34375</v>
      </c>
      <c r="AJ98" s="0" t="n">
        <f aca="false">STDEVP(B98:AG98)</f>
        <v>0.642717618787598</v>
      </c>
      <c r="AK98" s="0" t="n">
        <f aca="false">1.96*AJ98/SQRT(32)</f>
        <v>0.222690293450063</v>
      </c>
    </row>
    <row r="99" customFormat="false" ht="15" hidden="false" customHeight="false" outlineLevel="0" collapsed="false">
      <c r="A99" s="0" t="s">
        <v>100</v>
      </c>
      <c r="B99" s="0" t="n">
        <v>4</v>
      </c>
      <c r="C99" s="0" t="n">
        <v>5</v>
      </c>
      <c r="D99" s="0" t="n">
        <v>4</v>
      </c>
      <c r="E99" s="0" t="n">
        <v>4</v>
      </c>
      <c r="F99" s="0" t="n">
        <v>5</v>
      </c>
      <c r="G99" s="0" t="n">
        <v>5</v>
      </c>
      <c r="H99" s="0" t="n">
        <v>4</v>
      </c>
      <c r="I99" s="0" t="n">
        <v>5</v>
      </c>
      <c r="J99" s="0" t="n">
        <v>5</v>
      </c>
      <c r="K99" s="0" t="n">
        <v>4</v>
      </c>
      <c r="L99" s="0" t="n">
        <v>4</v>
      </c>
      <c r="M99" s="0" t="n">
        <v>5</v>
      </c>
      <c r="N99" s="0" t="n">
        <v>4</v>
      </c>
      <c r="O99" s="0" t="n">
        <v>5</v>
      </c>
      <c r="P99" s="0" t="n">
        <v>5</v>
      </c>
      <c r="Q99" s="0" t="n">
        <v>5</v>
      </c>
      <c r="R99" s="0" t="n">
        <v>5</v>
      </c>
      <c r="S99" s="0" t="n">
        <v>5</v>
      </c>
      <c r="T99" s="0" t="n">
        <v>5</v>
      </c>
      <c r="U99" s="0" t="n">
        <v>5</v>
      </c>
      <c r="V99" s="0" t="n">
        <v>5</v>
      </c>
      <c r="W99" s="0" t="n">
        <v>5</v>
      </c>
      <c r="X99" s="0" t="n">
        <v>5</v>
      </c>
      <c r="Y99" s="0" t="n">
        <v>4</v>
      </c>
      <c r="Z99" s="0" t="n">
        <v>4</v>
      </c>
      <c r="AA99" s="0" t="n">
        <v>5</v>
      </c>
      <c r="AB99" s="0" t="n">
        <v>5</v>
      </c>
      <c r="AC99" s="0" t="n">
        <v>5</v>
      </c>
      <c r="AD99" s="0" t="n">
        <v>5</v>
      </c>
      <c r="AE99" s="0" t="n">
        <v>5</v>
      </c>
      <c r="AF99" s="0" t="n">
        <v>3</v>
      </c>
      <c r="AG99" s="0" t="n">
        <v>5</v>
      </c>
      <c r="AI99" s="0" t="n">
        <f aca="false">AVERAGE(B99:AG99)</f>
        <v>4.65625</v>
      </c>
      <c r="AJ99" s="0" t="n">
        <f aca="false">STDEVP(B99:AG99)</f>
        <v>0.536736376166177</v>
      </c>
      <c r="AK99" s="0" t="n">
        <f aca="false">1.96*AJ99/SQRT(32)</f>
        <v>0.185969666335333</v>
      </c>
    </row>
    <row r="100" customFormat="false" ht="15" hidden="false" customHeight="false" outlineLevel="0" collapsed="false">
      <c r="A100" s="0" t="s">
        <v>101</v>
      </c>
      <c r="B100" s="0" t="n">
        <v>4</v>
      </c>
      <c r="C100" s="0" t="n">
        <v>4</v>
      </c>
      <c r="D100" s="0" t="n">
        <v>5</v>
      </c>
      <c r="E100" s="0" t="n">
        <v>5</v>
      </c>
      <c r="F100" s="0" t="n">
        <v>4</v>
      </c>
      <c r="G100" s="0" t="n">
        <v>4</v>
      </c>
      <c r="H100" s="0" t="n">
        <v>4</v>
      </c>
      <c r="I100" s="0" t="n">
        <v>5</v>
      </c>
      <c r="J100" s="0" t="n">
        <v>4</v>
      </c>
      <c r="K100" s="0" t="n">
        <v>4</v>
      </c>
      <c r="L100" s="0" t="n">
        <v>4</v>
      </c>
      <c r="M100" s="0" t="n">
        <v>4</v>
      </c>
      <c r="N100" s="0" t="n">
        <v>5</v>
      </c>
      <c r="O100" s="0" t="n">
        <v>5</v>
      </c>
      <c r="P100" s="0" t="n">
        <v>5</v>
      </c>
      <c r="Q100" s="0" t="n">
        <v>5</v>
      </c>
      <c r="R100" s="0" t="n">
        <v>5</v>
      </c>
      <c r="S100" s="0" t="n">
        <v>5</v>
      </c>
      <c r="T100" s="0" t="n">
        <v>5</v>
      </c>
      <c r="U100" s="0" t="n">
        <v>5</v>
      </c>
      <c r="V100" s="0" t="n">
        <v>5</v>
      </c>
      <c r="W100" s="0" t="n">
        <v>5</v>
      </c>
      <c r="X100" s="0" t="n">
        <v>5</v>
      </c>
      <c r="Y100" s="0" t="n">
        <v>5</v>
      </c>
      <c r="Z100" s="0" t="n">
        <v>5</v>
      </c>
      <c r="AA100" s="0" t="n">
        <v>5</v>
      </c>
      <c r="AB100" s="0" t="n">
        <v>4</v>
      </c>
      <c r="AC100" s="0" t="n">
        <v>5</v>
      </c>
      <c r="AD100" s="0" t="n">
        <v>4</v>
      </c>
      <c r="AE100" s="0" t="n">
        <v>5</v>
      </c>
      <c r="AF100" s="0" t="n">
        <v>3</v>
      </c>
      <c r="AG100" s="0" t="n">
        <v>5</v>
      </c>
      <c r="AI100" s="0" t="n">
        <f aca="false">AVERAGE(B100:AG100)</f>
        <v>4.59375</v>
      </c>
      <c r="AJ100" s="0" t="n">
        <f aca="false">STDEVP(B100:AG100)</f>
        <v>0.551099752767137</v>
      </c>
      <c r="AK100" s="0" t="n">
        <f aca="false">1.96*AJ100/SQRT(32)</f>
        <v>0.190946322423018</v>
      </c>
    </row>
    <row r="101" customFormat="false" ht="15" hidden="false" customHeight="false" outlineLevel="0" collapsed="false">
      <c r="A101" s="0" t="s">
        <v>102</v>
      </c>
      <c r="B101" s="0" t="n">
        <v>4</v>
      </c>
      <c r="C101" s="0" t="n">
        <v>5</v>
      </c>
      <c r="D101" s="0" t="n">
        <v>4</v>
      </c>
      <c r="E101" s="0" t="n">
        <v>4</v>
      </c>
      <c r="F101" s="0" t="n">
        <v>5</v>
      </c>
      <c r="G101" s="0" t="n">
        <v>5</v>
      </c>
      <c r="H101" s="0" t="n">
        <v>4</v>
      </c>
      <c r="I101" s="0" t="n">
        <v>4</v>
      </c>
      <c r="J101" s="0" t="n">
        <v>5</v>
      </c>
      <c r="K101" s="0" t="n">
        <v>4</v>
      </c>
      <c r="L101" s="0" t="n">
        <v>4</v>
      </c>
      <c r="M101" s="0" t="n">
        <v>5</v>
      </c>
      <c r="N101" s="0" t="n">
        <v>5</v>
      </c>
      <c r="O101" s="0" t="n">
        <v>5</v>
      </c>
      <c r="P101" s="0" t="n">
        <v>5</v>
      </c>
      <c r="Q101" s="0" t="n">
        <v>5</v>
      </c>
      <c r="R101" s="0" t="n">
        <v>5</v>
      </c>
      <c r="S101" s="0" t="n">
        <v>5</v>
      </c>
      <c r="T101" s="0" t="n">
        <v>5</v>
      </c>
      <c r="U101" s="0" t="n">
        <v>5</v>
      </c>
      <c r="V101" s="0" t="n">
        <v>5</v>
      </c>
      <c r="W101" s="0" t="n">
        <v>5</v>
      </c>
      <c r="X101" s="0" t="n">
        <v>5</v>
      </c>
      <c r="Y101" s="0" t="n">
        <v>5</v>
      </c>
      <c r="Z101" s="0" t="n">
        <v>5</v>
      </c>
      <c r="AA101" s="0" t="n">
        <v>5</v>
      </c>
      <c r="AB101" s="0" t="n">
        <v>5</v>
      </c>
      <c r="AC101" s="0" t="n">
        <v>5</v>
      </c>
      <c r="AD101" s="0" t="n">
        <v>5</v>
      </c>
      <c r="AE101" s="0" t="n">
        <v>5</v>
      </c>
      <c r="AF101" s="0" t="n">
        <v>4</v>
      </c>
      <c r="AG101" s="0" t="n">
        <v>5</v>
      </c>
      <c r="AI101" s="0" t="n">
        <f aca="false">AVERAGE(B101:AG101)</f>
        <v>4.75</v>
      </c>
      <c r="AJ101" s="0" t="n">
        <f aca="false">STDEVP(B101:AG101)</f>
        <v>0.433012701892219</v>
      </c>
      <c r="AK101" s="0" t="n">
        <f aca="false">1.96*AJ101/SQRT(32)</f>
        <v>0.15003124674547</v>
      </c>
    </row>
    <row r="102" customFormat="false" ht="15" hidden="false" customHeight="false" outlineLevel="0" collapsed="false">
      <c r="A102" s="0" t="s">
        <v>103</v>
      </c>
      <c r="B102" s="0" t="n">
        <v>3</v>
      </c>
      <c r="C102" s="0" t="n">
        <v>5</v>
      </c>
      <c r="D102" s="0" t="n">
        <v>5</v>
      </c>
      <c r="E102" s="0" t="n">
        <v>4</v>
      </c>
      <c r="F102" s="0" t="n">
        <v>4</v>
      </c>
      <c r="G102" s="0" t="n">
        <v>5</v>
      </c>
      <c r="H102" s="0" t="n">
        <v>3</v>
      </c>
      <c r="I102" s="0" t="n">
        <v>5</v>
      </c>
      <c r="J102" s="0" t="n">
        <v>5</v>
      </c>
      <c r="K102" s="0" t="n">
        <v>3</v>
      </c>
      <c r="L102" s="0" t="n">
        <v>4</v>
      </c>
      <c r="M102" s="0" t="n">
        <v>4</v>
      </c>
      <c r="N102" s="0" t="n">
        <v>4</v>
      </c>
      <c r="O102" s="0" t="n">
        <v>3</v>
      </c>
      <c r="P102" s="0" t="n">
        <v>5</v>
      </c>
      <c r="Q102" s="0" t="n">
        <v>5</v>
      </c>
      <c r="R102" s="0" t="n">
        <v>5</v>
      </c>
      <c r="S102" s="0" t="n">
        <v>5</v>
      </c>
      <c r="T102" s="0" t="n">
        <v>5</v>
      </c>
      <c r="U102" s="0" t="n">
        <v>4</v>
      </c>
      <c r="V102" s="0" t="n">
        <v>5</v>
      </c>
      <c r="W102" s="0" t="n">
        <v>5</v>
      </c>
      <c r="X102" s="0" t="n">
        <v>4</v>
      </c>
      <c r="Y102" s="0" t="n">
        <v>4</v>
      </c>
      <c r="Z102" s="0" t="n">
        <v>5</v>
      </c>
      <c r="AA102" s="0" t="n">
        <v>5</v>
      </c>
      <c r="AB102" s="0" t="n">
        <v>3</v>
      </c>
      <c r="AC102" s="0" t="n">
        <v>5</v>
      </c>
      <c r="AD102" s="0" t="n">
        <v>5</v>
      </c>
      <c r="AE102" s="0" t="n">
        <v>5</v>
      </c>
      <c r="AF102" s="0" t="n">
        <v>3</v>
      </c>
      <c r="AG102" s="0" t="n">
        <v>4</v>
      </c>
      <c r="AI102" s="0" t="n">
        <f aca="false">AVERAGE(B102:AG102)</f>
        <v>4.34375</v>
      </c>
      <c r="AJ102" s="0" t="n">
        <f aca="false">STDEVP(B102:AG102)</f>
        <v>0.774974797977328</v>
      </c>
      <c r="AK102" s="0" t="n">
        <f aca="false">1.96*AJ102/SQRT(32)</f>
        <v>0.268515068100237</v>
      </c>
    </row>
    <row r="103" customFormat="false" ht="15" hidden="false" customHeight="false" outlineLevel="0" collapsed="false">
      <c r="A103" s="0" t="s">
        <v>104</v>
      </c>
      <c r="B103" s="0" t="n">
        <v>3</v>
      </c>
      <c r="C103" s="0" t="n">
        <v>3</v>
      </c>
      <c r="D103" s="0" t="n">
        <v>3</v>
      </c>
      <c r="E103" s="0" t="n">
        <v>3</v>
      </c>
      <c r="F103" s="0" t="n">
        <v>3</v>
      </c>
      <c r="G103" s="0" t="n">
        <v>3</v>
      </c>
      <c r="H103" s="0" t="n">
        <v>3</v>
      </c>
      <c r="I103" s="0" t="n">
        <v>3</v>
      </c>
      <c r="J103" s="0" t="n">
        <v>3</v>
      </c>
      <c r="K103" s="0" t="n">
        <v>2</v>
      </c>
      <c r="L103" s="0" t="n">
        <v>3</v>
      </c>
      <c r="M103" s="0" t="n">
        <v>3</v>
      </c>
      <c r="N103" s="0" t="n">
        <v>3</v>
      </c>
      <c r="O103" s="0" t="n">
        <v>4</v>
      </c>
      <c r="P103" s="0" t="n">
        <v>4</v>
      </c>
      <c r="Q103" s="0" t="n">
        <v>4</v>
      </c>
      <c r="R103" s="0" t="n">
        <v>4</v>
      </c>
      <c r="S103" s="0" t="n">
        <v>2</v>
      </c>
      <c r="T103" s="0" t="n">
        <v>2</v>
      </c>
      <c r="U103" s="0" t="n">
        <v>3</v>
      </c>
      <c r="V103" s="0" t="n">
        <v>3</v>
      </c>
      <c r="W103" s="0" t="n">
        <v>3</v>
      </c>
      <c r="X103" s="0" t="n">
        <v>4</v>
      </c>
      <c r="Y103" s="0" t="n">
        <v>4</v>
      </c>
      <c r="Z103" s="0" t="n">
        <v>3</v>
      </c>
      <c r="AA103" s="0" t="n">
        <v>3</v>
      </c>
      <c r="AB103" s="0" t="n">
        <v>3</v>
      </c>
      <c r="AC103" s="0" t="n">
        <v>3</v>
      </c>
      <c r="AD103" s="0" t="n">
        <v>4</v>
      </c>
      <c r="AE103" s="0" t="n">
        <v>3</v>
      </c>
      <c r="AF103" s="0" t="n">
        <v>1</v>
      </c>
      <c r="AG103" s="0" t="n">
        <v>4</v>
      </c>
      <c r="AI103" s="0" t="n">
        <f aca="false">AVERAGE(B103:AG103)</f>
        <v>3.09375</v>
      </c>
      <c r="AJ103" s="0" t="n">
        <f aca="false">STDEVP(B103:AG103)</f>
        <v>0.678204200444085</v>
      </c>
      <c r="AK103" s="0" t="n">
        <f aca="false">1.96*AJ103/SQRT(32)</f>
        <v>0.234985766689974</v>
      </c>
    </row>
    <row r="104" customFormat="false" ht="15" hidden="false" customHeight="false" outlineLevel="0" collapsed="false">
      <c r="A104" s="0" t="s">
        <v>105</v>
      </c>
      <c r="B104" s="0" t="n">
        <v>1</v>
      </c>
      <c r="C104" s="0" t="n">
        <v>1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2</v>
      </c>
      <c r="P104" s="0" t="n">
        <v>1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1</v>
      </c>
      <c r="V104" s="0" t="n">
        <v>2</v>
      </c>
      <c r="W104" s="0" t="n">
        <v>2</v>
      </c>
      <c r="X104" s="0" t="n">
        <v>2</v>
      </c>
      <c r="Y104" s="0" t="n">
        <v>2</v>
      </c>
      <c r="Z104" s="0" t="n">
        <v>1</v>
      </c>
      <c r="AA104" s="0" t="n">
        <v>1</v>
      </c>
      <c r="AB104" s="0" t="n">
        <v>2</v>
      </c>
      <c r="AC104" s="0" t="n">
        <v>1</v>
      </c>
      <c r="AD104" s="0" t="n">
        <v>1</v>
      </c>
      <c r="AE104" s="0" t="n">
        <v>1</v>
      </c>
      <c r="AF104" s="0" t="n">
        <v>1</v>
      </c>
      <c r="AG104" s="0" t="n">
        <v>1</v>
      </c>
      <c r="AI104" s="0" t="n">
        <f aca="false">AVERAGE(B104:AG104)</f>
        <v>1.21875</v>
      </c>
      <c r="AJ104" s="0" t="n">
        <f aca="false">STDEVP(B104:AG104)</f>
        <v>0.413398642353842</v>
      </c>
      <c r="AK104" s="0" t="n">
        <f aca="false">1.96*AJ104/SQRT(32)</f>
        <v>0.14323532183744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875" defaultRowHeight="15" zeroHeight="false" outlineLevelRow="0" outlineLevelCol="0"/>
  <cols>
    <col collapsed="false" customWidth="true" hidden="false" outlineLevel="0" max="1" min="1" style="0" width="26.7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  <c r="AG2" s="3" t="n">
        <v>32</v>
      </c>
      <c r="AI2" s="4" t="s">
        <v>106</v>
      </c>
      <c r="AJ2" s="0" t="s">
        <v>1</v>
      </c>
    </row>
    <row r="3" customFormat="false" ht="15" hidden="false" customHeight="false" outlineLevel="0" collapsed="false">
      <c r="A3" s="0" t="s">
        <v>107</v>
      </c>
      <c r="B3" s="0" t="n">
        <v>2</v>
      </c>
      <c r="C3" s="0" t="n">
        <v>1</v>
      </c>
      <c r="D3" s="0" t="n">
        <v>2</v>
      </c>
      <c r="E3" s="0" t="n">
        <v>3</v>
      </c>
      <c r="F3" s="0" t="n">
        <v>3</v>
      </c>
      <c r="G3" s="0" t="n">
        <v>2</v>
      </c>
      <c r="H3" s="0" t="n">
        <v>2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1</v>
      </c>
      <c r="R3" s="0" t="n">
        <v>3</v>
      </c>
      <c r="S3" s="0" t="n">
        <v>2</v>
      </c>
      <c r="T3" s="0" t="n">
        <v>2</v>
      </c>
      <c r="U3" s="0" t="n">
        <v>2</v>
      </c>
      <c r="V3" s="0" t="n">
        <v>3</v>
      </c>
      <c r="W3" s="0" t="n">
        <v>1</v>
      </c>
      <c r="X3" s="0" t="n">
        <v>2</v>
      </c>
      <c r="Y3" s="0" t="n">
        <v>3</v>
      </c>
      <c r="Z3" s="0" t="n">
        <v>3</v>
      </c>
      <c r="AA3" s="0" t="n">
        <v>3</v>
      </c>
      <c r="AB3" s="0" t="n">
        <v>4</v>
      </c>
      <c r="AC3" s="0" t="n">
        <v>2</v>
      </c>
      <c r="AD3" s="0" t="n">
        <v>2</v>
      </c>
      <c r="AE3" s="0" t="n">
        <v>3</v>
      </c>
      <c r="AF3" s="0" t="n">
        <v>2</v>
      </c>
      <c r="AG3" s="0" t="n">
        <v>2</v>
      </c>
      <c r="AI3" s="0" t="n">
        <f aca="false">5+AVERAGE(B3:AG3)-MOS!AI33</f>
        <v>2.9375</v>
      </c>
      <c r="AJ3" s="0" t="n">
        <f aca="false">AVERAGE(B3:AG3)</f>
        <v>2.21875</v>
      </c>
    </row>
    <row r="4" customFormat="false" ht="15" hidden="false" customHeight="false" outlineLevel="0" collapsed="false">
      <c r="A4" s="0" t="s">
        <v>108</v>
      </c>
      <c r="B4" s="0" t="n">
        <v>2</v>
      </c>
      <c r="C4" s="0" t="n">
        <v>2</v>
      </c>
      <c r="D4" s="0" t="n">
        <v>2</v>
      </c>
      <c r="E4" s="0" t="n">
        <v>3</v>
      </c>
      <c r="F4" s="0" t="n">
        <v>3</v>
      </c>
      <c r="G4" s="0" t="n">
        <v>3</v>
      </c>
      <c r="H4" s="0" t="n">
        <v>2</v>
      </c>
      <c r="I4" s="0" t="n">
        <v>3</v>
      </c>
      <c r="J4" s="0" t="n">
        <v>4</v>
      </c>
      <c r="K4" s="0" t="n">
        <v>1</v>
      </c>
      <c r="L4" s="0" t="n">
        <v>1</v>
      </c>
      <c r="M4" s="0" t="n">
        <v>2</v>
      </c>
      <c r="N4" s="0" t="n">
        <v>2</v>
      </c>
      <c r="O4" s="0" t="n">
        <v>3</v>
      </c>
      <c r="P4" s="0" t="n">
        <v>3</v>
      </c>
      <c r="Q4" s="0" t="n">
        <v>1</v>
      </c>
      <c r="R4" s="0" t="n">
        <v>4</v>
      </c>
      <c r="S4" s="0" t="n">
        <v>1</v>
      </c>
      <c r="T4" s="0" t="n">
        <v>3</v>
      </c>
      <c r="U4" s="0" t="n">
        <v>2</v>
      </c>
      <c r="V4" s="0" t="n">
        <v>2</v>
      </c>
      <c r="W4" s="0" t="n">
        <v>2</v>
      </c>
      <c r="X4" s="0" t="n">
        <v>1</v>
      </c>
      <c r="Y4" s="0" t="n">
        <v>1</v>
      </c>
      <c r="Z4" s="0" t="n">
        <v>3</v>
      </c>
      <c r="AA4" s="0" t="n">
        <v>3</v>
      </c>
      <c r="AB4" s="0" t="n">
        <v>2</v>
      </c>
      <c r="AC4" s="0" t="n">
        <v>2</v>
      </c>
      <c r="AD4" s="0" t="n">
        <v>1</v>
      </c>
      <c r="AE4" s="0" t="n">
        <v>2</v>
      </c>
      <c r="AF4" s="0" t="n">
        <v>1</v>
      </c>
      <c r="AG4" s="0" t="n">
        <v>2</v>
      </c>
      <c r="AI4" s="0" t="n">
        <f aca="false">5+AVERAGE(B4:AG4)-MOS!AI31</f>
        <v>3.1875</v>
      </c>
      <c r="AJ4" s="0" t="n">
        <f aca="false">AVERAGE(B4:AG4)</f>
        <v>2.15625</v>
      </c>
    </row>
    <row r="5" customFormat="false" ht="15" hidden="false" customHeight="false" outlineLevel="0" collapsed="false">
      <c r="A5" s="0" t="s">
        <v>109</v>
      </c>
      <c r="B5" s="0" t="n">
        <v>4</v>
      </c>
      <c r="C5" s="0" t="n">
        <v>2</v>
      </c>
      <c r="D5" s="0" t="n">
        <v>4</v>
      </c>
      <c r="E5" s="0" t="n">
        <v>4</v>
      </c>
      <c r="F5" s="0" t="n">
        <v>3</v>
      </c>
      <c r="G5" s="0" t="n">
        <v>4</v>
      </c>
      <c r="H5" s="0" t="n">
        <v>4</v>
      </c>
      <c r="I5" s="0" t="n">
        <v>5</v>
      </c>
      <c r="J5" s="0" t="n">
        <v>3</v>
      </c>
      <c r="K5" s="0" t="n">
        <v>2</v>
      </c>
      <c r="L5" s="0" t="n">
        <v>3</v>
      </c>
      <c r="M5" s="0" t="n">
        <v>4</v>
      </c>
      <c r="N5" s="0" t="n">
        <v>4</v>
      </c>
      <c r="O5" s="0" t="n">
        <v>4</v>
      </c>
      <c r="P5" s="0" t="n">
        <v>3</v>
      </c>
      <c r="Q5" s="0" t="n">
        <v>2</v>
      </c>
      <c r="R5" s="0" t="n">
        <v>4</v>
      </c>
      <c r="S5" s="0" t="n">
        <v>4</v>
      </c>
      <c r="T5" s="0" t="n">
        <v>4</v>
      </c>
      <c r="U5" s="0" t="n">
        <v>3</v>
      </c>
      <c r="V5" s="0" t="n">
        <v>4</v>
      </c>
      <c r="W5" s="0" t="n">
        <v>3</v>
      </c>
      <c r="X5" s="0" t="n">
        <v>4</v>
      </c>
      <c r="Y5" s="0" t="n">
        <v>1</v>
      </c>
      <c r="Z5" s="0" t="n">
        <v>4</v>
      </c>
      <c r="AA5" s="0" t="n">
        <v>4</v>
      </c>
      <c r="AB5" s="0" t="n">
        <v>4</v>
      </c>
      <c r="AC5" s="0" t="n">
        <v>3</v>
      </c>
      <c r="AD5" s="0" t="n">
        <v>3</v>
      </c>
      <c r="AE5" s="0" t="n">
        <v>4</v>
      </c>
      <c r="AF5" s="0" t="n">
        <v>2</v>
      </c>
      <c r="AG5" s="0" t="n">
        <v>3</v>
      </c>
      <c r="AI5" s="0" t="n">
        <f aca="false">5+AVERAGE(B5:AG5)-MOS!AI32</f>
        <v>4.40625</v>
      </c>
      <c r="AJ5" s="0" t="n">
        <f aca="false">AVERAGE(B5:AG5)</f>
        <v>3.40625</v>
      </c>
    </row>
    <row r="6" customFormat="false" ht="15" hidden="false" customHeight="false" outlineLevel="0" collapsed="false">
      <c r="A6" s="0" t="s">
        <v>110</v>
      </c>
      <c r="B6" s="0" t="n">
        <v>4</v>
      </c>
      <c r="C6" s="0" t="n">
        <v>4</v>
      </c>
      <c r="D6" s="0" t="n">
        <v>3</v>
      </c>
      <c r="E6" s="0" t="n">
        <v>3</v>
      </c>
      <c r="F6" s="0" t="n">
        <v>3</v>
      </c>
      <c r="G6" s="0" t="n">
        <v>5</v>
      </c>
      <c r="H6" s="0" t="n">
        <v>4</v>
      </c>
      <c r="I6" s="0" t="n">
        <v>5</v>
      </c>
      <c r="J6" s="0" t="n">
        <v>5</v>
      </c>
      <c r="K6" s="0" t="n">
        <v>2</v>
      </c>
      <c r="L6" s="0" t="n">
        <v>2</v>
      </c>
      <c r="M6" s="0" t="n">
        <v>4</v>
      </c>
      <c r="N6" s="0" t="n">
        <v>3</v>
      </c>
      <c r="O6" s="0" t="n">
        <v>3</v>
      </c>
      <c r="P6" s="0" t="n">
        <v>3</v>
      </c>
      <c r="Q6" s="0" t="n">
        <v>4</v>
      </c>
      <c r="R6" s="0" t="n">
        <v>4</v>
      </c>
      <c r="S6" s="0" t="n">
        <v>4</v>
      </c>
      <c r="T6" s="0" t="n">
        <v>4</v>
      </c>
      <c r="U6" s="0" t="n">
        <v>4</v>
      </c>
      <c r="V6" s="0" t="n">
        <v>4</v>
      </c>
      <c r="W6" s="0" t="n">
        <v>4</v>
      </c>
      <c r="X6" s="0" t="n">
        <v>3</v>
      </c>
      <c r="Y6" s="0" t="n">
        <v>4</v>
      </c>
      <c r="Z6" s="0" t="n">
        <v>3</v>
      </c>
      <c r="AA6" s="0" t="n">
        <v>4</v>
      </c>
      <c r="AB6" s="0" t="n">
        <v>3</v>
      </c>
      <c r="AC6" s="0" t="n">
        <v>3</v>
      </c>
      <c r="AD6" s="0" t="n">
        <v>4</v>
      </c>
      <c r="AE6" s="0" t="n">
        <v>3</v>
      </c>
      <c r="AF6" s="0" t="n">
        <v>3</v>
      </c>
      <c r="AG6" s="0" t="n">
        <v>3</v>
      </c>
      <c r="AI6" s="0" t="n">
        <f aca="false">5+AVERAGE(B6:AG6)-MOS!AI32</f>
        <v>4.5625</v>
      </c>
      <c r="AJ6" s="0" t="n">
        <f aca="false">AVERAGE(B6:AG6)</f>
        <v>3.5625</v>
      </c>
    </row>
    <row r="7" customFormat="false" ht="15" hidden="false" customHeight="false" outlineLevel="0" collapsed="false">
      <c r="A7" s="0" t="s">
        <v>111</v>
      </c>
      <c r="B7" s="0" t="n">
        <v>3</v>
      </c>
      <c r="C7" s="0" t="n">
        <v>3</v>
      </c>
      <c r="D7" s="0" t="n">
        <v>2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3</v>
      </c>
      <c r="J7" s="0" t="n">
        <v>3</v>
      </c>
      <c r="K7" s="0" t="n">
        <v>1</v>
      </c>
      <c r="L7" s="0" t="n">
        <v>1</v>
      </c>
      <c r="M7" s="0" t="n">
        <v>2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3</v>
      </c>
      <c r="S7" s="0" t="n">
        <v>1</v>
      </c>
      <c r="T7" s="0" t="n">
        <v>2</v>
      </c>
      <c r="U7" s="0" t="n">
        <v>2</v>
      </c>
      <c r="V7" s="0" t="n">
        <v>2</v>
      </c>
      <c r="W7" s="0" t="n">
        <v>2</v>
      </c>
      <c r="X7" s="0" t="n">
        <v>1</v>
      </c>
      <c r="Y7" s="0" t="n">
        <v>4</v>
      </c>
      <c r="Z7" s="0" t="n">
        <v>3</v>
      </c>
      <c r="AA7" s="0" t="n">
        <v>3</v>
      </c>
      <c r="AB7" s="0" t="n">
        <v>2</v>
      </c>
      <c r="AC7" s="0" t="n">
        <v>2</v>
      </c>
      <c r="AD7" s="0" t="n">
        <v>2</v>
      </c>
      <c r="AE7" s="0" t="n">
        <v>3</v>
      </c>
      <c r="AF7" s="0" t="n">
        <v>1</v>
      </c>
      <c r="AG7" s="0" t="n">
        <v>2</v>
      </c>
      <c r="AI7" s="0" t="n">
        <f aca="false">5+AVERAGE(B7:AG7)-MOS!AI33</f>
        <v>2.75</v>
      </c>
      <c r="AJ7" s="0" t="n">
        <f aca="false">AVERAGE(B7:AG7)</f>
        <v>2.03125</v>
      </c>
    </row>
    <row r="8" customFormat="false" ht="15" hidden="false" customHeight="false" outlineLevel="0" collapsed="false">
      <c r="A8" s="0" t="s">
        <v>112</v>
      </c>
      <c r="B8" s="0" t="n">
        <v>3</v>
      </c>
      <c r="C8" s="0" t="n">
        <v>1</v>
      </c>
      <c r="D8" s="0" t="n">
        <v>3</v>
      </c>
      <c r="E8" s="0" t="n">
        <v>2</v>
      </c>
      <c r="F8" s="0" t="n">
        <v>2</v>
      </c>
      <c r="G8" s="0" t="n">
        <v>2</v>
      </c>
      <c r="H8" s="0" t="n">
        <v>2</v>
      </c>
      <c r="I8" s="0" t="n">
        <v>3</v>
      </c>
      <c r="J8" s="0" t="n">
        <v>3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2</v>
      </c>
      <c r="P8" s="0" t="n">
        <v>2</v>
      </c>
      <c r="Q8" s="0" t="n">
        <v>1</v>
      </c>
      <c r="R8" s="0" t="n">
        <v>3</v>
      </c>
      <c r="S8" s="0" t="n">
        <v>1</v>
      </c>
      <c r="T8" s="0" t="n">
        <v>2</v>
      </c>
      <c r="U8" s="0" t="n">
        <v>3</v>
      </c>
      <c r="V8" s="0" t="n">
        <v>2</v>
      </c>
      <c r="W8" s="0" t="n">
        <v>2</v>
      </c>
      <c r="X8" s="0" t="n">
        <v>3</v>
      </c>
      <c r="Y8" s="0" t="n">
        <v>3</v>
      </c>
      <c r="Z8" s="0" t="n">
        <v>2</v>
      </c>
      <c r="AA8" s="0" t="n">
        <v>2</v>
      </c>
      <c r="AB8" s="0" t="n">
        <v>2</v>
      </c>
      <c r="AC8" s="0" t="n">
        <v>2</v>
      </c>
      <c r="AD8" s="0" t="n">
        <v>1</v>
      </c>
      <c r="AE8" s="0" t="n">
        <v>1</v>
      </c>
      <c r="AF8" s="0" t="n">
        <v>1</v>
      </c>
      <c r="AG8" s="0" t="n">
        <v>2</v>
      </c>
      <c r="AI8" s="0" t="n">
        <f aca="false">5+AVERAGE(B8:AG8)-MOS!AI31</f>
        <v>3.03125</v>
      </c>
      <c r="AJ8" s="0" t="n">
        <f aca="false">AVERAGE(B8:AG8)</f>
        <v>2</v>
      </c>
    </row>
    <row r="9" customFormat="false" ht="15" hidden="false" customHeight="false" outlineLevel="0" collapsed="false">
      <c r="A9" s="0" t="s">
        <v>113</v>
      </c>
      <c r="B9" s="0" t="n">
        <v>4</v>
      </c>
      <c r="C9" s="0" t="n">
        <v>2</v>
      </c>
      <c r="D9" s="0" t="n">
        <v>4</v>
      </c>
      <c r="E9" s="0" t="n">
        <v>3</v>
      </c>
      <c r="F9" s="0" t="n">
        <v>3</v>
      </c>
      <c r="G9" s="0" t="n">
        <v>4</v>
      </c>
      <c r="H9" s="0" t="n">
        <v>4</v>
      </c>
      <c r="I9" s="0" t="n">
        <v>4</v>
      </c>
      <c r="J9" s="0" t="n">
        <v>4</v>
      </c>
      <c r="K9" s="0" t="n">
        <v>2</v>
      </c>
      <c r="L9" s="0" t="n">
        <v>3</v>
      </c>
      <c r="M9" s="0" t="n">
        <v>3</v>
      </c>
      <c r="N9" s="0" t="n">
        <v>4</v>
      </c>
      <c r="O9" s="0" t="n">
        <v>3</v>
      </c>
      <c r="P9" s="0" t="n">
        <v>2</v>
      </c>
      <c r="Q9" s="0" t="n">
        <v>2</v>
      </c>
      <c r="R9" s="0" t="n">
        <v>4</v>
      </c>
      <c r="S9" s="0" t="n">
        <v>3</v>
      </c>
      <c r="T9" s="0" t="n">
        <v>3</v>
      </c>
      <c r="U9" s="0" t="n">
        <v>4</v>
      </c>
      <c r="V9" s="0" t="n">
        <v>3</v>
      </c>
      <c r="W9" s="0" t="n">
        <v>4</v>
      </c>
      <c r="X9" s="0" t="n">
        <v>3</v>
      </c>
      <c r="Y9" s="0" t="n">
        <v>4</v>
      </c>
      <c r="Z9" s="0" t="n">
        <v>4</v>
      </c>
      <c r="AA9" s="0" t="n">
        <v>4</v>
      </c>
      <c r="AB9" s="0" t="n">
        <v>2</v>
      </c>
      <c r="AC9" s="0" t="n">
        <v>3</v>
      </c>
      <c r="AD9" s="0" t="n">
        <v>3</v>
      </c>
      <c r="AE9" s="0" t="n">
        <v>2</v>
      </c>
      <c r="AF9" s="0" t="n">
        <v>2</v>
      </c>
      <c r="AG9" s="0" t="n">
        <v>3</v>
      </c>
      <c r="AI9" s="0" t="n">
        <f aca="false">5+AVERAGE(B9:AG9)-MOS!AI32</f>
        <v>4.1875</v>
      </c>
      <c r="AJ9" s="0" t="n">
        <f aca="false">AVERAGE(B9:AG9)</f>
        <v>3.1875</v>
      </c>
    </row>
    <row r="10" customFormat="false" ht="15" hidden="false" customHeight="false" outlineLevel="0" collapsed="false">
      <c r="A10" s="0" t="s">
        <v>114</v>
      </c>
      <c r="B10" s="0" t="n">
        <v>4</v>
      </c>
      <c r="C10" s="0" t="n">
        <v>3</v>
      </c>
      <c r="D10" s="0" t="n">
        <v>3</v>
      </c>
      <c r="E10" s="0" t="n">
        <v>3</v>
      </c>
      <c r="F10" s="0" t="n">
        <v>3</v>
      </c>
      <c r="G10" s="0" t="n">
        <v>4</v>
      </c>
      <c r="H10" s="0" t="n">
        <v>3</v>
      </c>
      <c r="I10" s="0" t="n">
        <v>3</v>
      </c>
      <c r="J10" s="0" t="n">
        <v>4</v>
      </c>
      <c r="K10" s="0" t="n">
        <v>2</v>
      </c>
      <c r="L10" s="0" t="n">
        <v>3</v>
      </c>
      <c r="M10" s="0" t="n">
        <v>3</v>
      </c>
      <c r="N10" s="0" t="n">
        <v>4</v>
      </c>
      <c r="O10" s="0" t="n">
        <v>2</v>
      </c>
      <c r="P10" s="0" t="n">
        <v>2</v>
      </c>
      <c r="Q10" s="0" t="n">
        <v>1</v>
      </c>
      <c r="R10" s="0" t="n">
        <v>3</v>
      </c>
      <c r="S10" s="0" t="n">
        <v>2</v>
      </c>
      <c r="T10" s="0" t="n">
        <v>3</v>
      </c>
      <c r="U10" s="0" t="n">
        <v>4</v>
      </c>
      <c r="V10" s="0" t="n">
        <v>3</v>
      </c>
      <c r="W10" s="0" t="n">
        <v>1</v>
      </c>
      <c r="X10" s="0" t="n">
        <v>2</v>
      </c>
      <c r="Y10" s="0" t="n">
        <v>3</v>
      </c>
      <c r="Z10" s="0" t="n">
        <v>2</v>
      </c>
      <c r="AA10" s="0" t="n">
        <v>3</v>
      </c>
      <c r="AB10" s="0" t="n">
        <v>4</v>
      </c>
      <c r="AC10" s="0" t="n">
        <v>4</v>
      </c>
      <c r="AD10" s="0" t="n">
        <v>3</v>
      </c>
      <c r="AE10" s="0" t="n">
        <v>3</v>
      </c>
      <c r="AF10" s="0" t="n">
        <v>2</v>
      </c>
      <c r="AG10" s="0" t="n">
        <v>2</v>
      </c>
      <c r="AI10" s="0" t="n">
        <f aca="false">5+AVERAGE(B10:AG10)-MOS!AI32</f>
        <v>3.84375</v>
      </c>
      <c r="AJ10" s="0" t="n">
        <f aca="false">AVERAGE(B10:AG10)</f>
        <v>2.84375</v>
      </c>
    </row>
    <row r="11" customFormat="false" ht="15" hidden="false" customHeight="false" outlineLevel="0" collapsed="false">
      <c r="A11" s="0" t="s">
        <v>115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2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I11" s="0" t="n">
        <f aca="false">5+AVERAGE(B11:AG11)-MOS!AI33</f>
        <v>1.84375</v>
      </c>
      <c r="AJ11" s="0" t="n">
        <f aca="false">AVERAGE(B11:AG11)</f>
        <v>1.125</v>
      </c>
    </row>
    <row r="12" customFormat="false" ht="15" hidden="false" customHeight="false" outlineLevel="0" collapsed="false">
      <c r="A12" s="0" t="s">
        <v>116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</v>
      </c>
      <c r="V12" s="0" t="n">
        <v>2</v>
      </c>
      <c r="W12" s="0" t="n">
        <v>1</v>
      </c>
      <c r="X12" s="0" t="n">
        <v>1</v>
      </c>
      <c r="Y12" s="0" t="n">
        <v>2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I12" s="0" t="n">
        <f aca="false">5+AVERAGE(B12:AG12)-MOS!AI31</f>
        <v>2.15625</v>
      </c>
      <c r="AJ12" s="0" t="n">
        <f aca="false">AVERAGE(B12:AG12)</f>
        <v>1.125</v>
      </c>
    </row>
    <row r="13" customFormat="false" ht="15" hidden="false" customHeight="false" outlineLevel="0" collapsed="false">
      <c r="A13" s="0" t="s">
        <v>117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2</v>
      </c>
      <c r="H13" s="0" t="n">
        <v>1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1</v>
      </c>
      <c r="P13" s="0" t="n">
        <v>1</v>
      </c>
      <c r="Q13" s="0" t="n">
        <v>1</v>
      </c>
      <c r="R13" s="0" t="n">
        <v>2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2</v>
      </c>
      <c r="Z13" s="0" t="n">
        <v>1</v>
      </c>
      <c r="AA13" s="0" t="n">
        <v>2</v>
      </c>
      <c r="AB13" s="0" t="n">
        <v>2</v>
      </c>
      <c r="AC13" s="0" t="n">
        <v>2</v>
      </c>
      <c r="AD13" s="0" t="n">
        <v>1</v>
      </c>
      <c r="AE13" s="0" t="n">
        <v>1</v>
      </c>
      <c r="AF13" s="0" t="n">
        <v>2</v>
      </c>
      <c r="AG13" s="0" t="n">
        <v>1</v>
      </c>
      <c r="AI13" s="0" t="n">
        <f aca="false">5+AVERAGE(B13:AG13)-MOS!AI32</f>
        <v>2.3125</v>
      </c>
      <c r="AJ13" s="0" t="n">
        <f aca="false">AVERAGE(B13:AG13)</f>
        <v>1.3125</v>
      </c>
    </row>
    <row r="14" customFormat="false" ht="15" hidden="false" customHeight="false" outlineLevel="0" collapsed="false">
      <c r="A14" s="0" t="s">
        <v>118</v>
      </c>
      <c r="B14" s="0" t="n">
        <v>1</v>
      </c>
      <c r="C14" s="0" t="n">
        <v>1</v>
      </c>
      <c r="D14" s="0" t="n">
        <v>2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2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2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2</v>
      </c>
      <c r="AE14" s="0" t="n">
        <v>1</v>
      </c>
      <c r="AF14" s="0" t="n">
        <v>1</v>
      </c>
      <c r="AG14" s="0" t="n">
        <v>1</v>
      </c>
      <c r="AI14" s="0" t="n">
        <f aca="false">5+AVERAGE(B14:AG14)-MOS!AI32</f>
        <v>2.28125</v>
      </c>
      <c r="AJ14" s="0" t="n">
        <f aca="false">AVERAGE(B14:AG14)</f>
        <v>1.28125</v>
      </c>
    </row>
    <row r="15" customFormat="false" ht="15" hidden="false" customHeight="false" outlineLevel="0" collapsed="false">
      <c r="A15" s="0" t="s">
        <v>119</v>
      </c>
      <c r="B15" s="0" t="n">
        <v>3</v>
      </c>
      <c r="C15" s="0" t="n">
        <v>3</v>
      </c>
      <c r="D15" s="0" t="n">
        <v>2</v>
      </c>
      <c r="E15" s="0" t="n">
        <v>2</v>
      </c>
      <c r="F15" s="0" t="n">
        <v>2</v>
      </c>
      <c r="G15" s="0" t="n">
        <v>2</v>
      </c>
      <c r="H15" s="0" t="n">
        <v>2</v>
      </c>
      <c r="I15" s="0" t="n">
        <v>3</v>
      </c>
      <c r="J15" s="0" t="n">
        <v>3</v>
      </c>
      <c r="K15" s="0" t="n">
        <v>1</v>
      </c>
      <c r="L15" s="0" t="n">
        <v>2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1</v>
      </c>
      <c r="R15" s="0" t="n">
        <v>3</v>
      </c>
      <c r="S15" s="0" t="n">
        <v>1</v>
      </c>
      <c r="T15" s="0" t="n">
        <v>2</v>
      </c>
      <c r="U15" s="0" t="n">
        <v>3</v>
      </c>
      <c r="V15" s="0" t="n">
        <v>2</v>
      </c>
      <c r="W15" s="0" t="n">
        <v>1</v>
      </c>
      <c r="X15" s="0" t="n">
        <v>2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2</v>
      </c>
      <c r="AD15" s="0" t="n">
        <v>2</v>
      </c>
      <c r="AE15" s="0" t="n">
        <v>2</v>
      </c>
      <c r="AF15" s="0" t="n">
        <v>1</v>
      </c>
      <c r="AG15" s="0" t="n">
        <v>2</v>
      </c>
      <c r="AI15" s="0" t="n">
        <f aca="false">5+AVERAGE(B15:AG15)-MOS!AI33</f>
        <v>2.71875</v>
      </c>
      <c r="AJ15" s="0" t="n">
        <f aca="false">AVERAGE(B15:AG15)</f>
        <v>2</v>
      </c>
    </row>
    <row r="16" customFormat="false" ht="15" hidden="false" customHeight="false" outlineLevel="0" collapsed="false">
      <c r="A16" s="0" t="s">
        <v>120</v>
      </c>
      <c r="B16" s="0" t="n">
        <v>2</v>
      </c>
      <c r="C16" s="0" t="n">
        <v>2</v>
      </c>
      <c r="D16" s="0" t="n">
        <v>2</v>
      </c>
      <c r="E16" s="0" t="n">
        <v>2</v>
      </c>
      <c r="F16" s="0" t="n">
        <v>1</v>
      </c>
      <c r="G16" s="0" t="n">
        <v>2</v>
      </c>
      <c r="H16" s="0" t="n">
        <v>2</v>
      </c>
      <c r="I16" s="0" t="n">
        <v>3</v>
      </c>
      <c r="J16" s="0" t="n">
        <v>3</v>
      </c>
      <c r="K16" s="0" t="n">
        <v>1</v>
      </c>
      <c r="L16" s="0" t="n">
        <v>2</v>
      </c>
      <c r="M16" s="0" t="n">
        <v>2</v>
      </c>
      <c r="N16" s="0" t="n">
        <v>2</v>
      </c>
      <c r="O16" s="0" t="n">
        <v>2</v>
      </c>
      <c r="P16" s="0" t="n">
        <v>2</v>
      </c>
      <c r="Q16" s="0" t="n">
        <v>1</v>
      </c>
      <c r="R16" s="0" t="n">
        <v>3</v>
      </c>
      <c r="S16" s="0" t="n">
        <v>1</v>
      </c>
      <c r="T16" s="0" t="n">
        <v>2</v>
      </c>
      <c r="U16" s="0" t="n">
        <v>3</v>
      </c>
      <c r="V16" s="0" t="n">
        <v>2</v>
      </c>
      <c r="W16" s="0" t="n">
        <v>2</v>
      </c>
      <c r="X16" s="0" t="n">
        <v>1</v>
      </c>
      <c r="Y16" s="0" t="n">
        <v>1</v>
      </c>
      <c r="Z16" s="0" t="n">
        <v>2</v>
      </c>
      <c r="AA16" s="0" t="n">
        <v>2</v>
      </c>
      <c r="AB16" s="0" t="n">
        <v>2</v>
      </c>
      <c r="AC16" s="0" t="n">
        <v>2</v>
      </c>
      <c r="AD16" s="0" t="n">
        <v>2</v>
      </c>
      <c r="AE16" s="0" t="n">
        <v>1</v>
      </c>
      <c r="AF16" s="0" t="n">
        <v>1</v>
      </c>
      <c r="AG16" s="0" t="n">
        <v>2</v>
      </c>
      <c r="AI16" s="0" t="n">
        <f aca="false">5+AVERAGE(B16:AG16)-MOS!AI31</f>
        <v>2.90625</v>
      </c>
      <c r="AJ16" s="0" t="n">
        <f aca="false">AVERAGE(B16:AG16)</f>
        <v>1.875</v>
      </c>
    </row>
    <row r="17" customFormat="false" ht="15" hidden="false" customHeight="false" outlineLevel="0" collapsed="false">
      <c r="A17" s="0" t="s">
        <v>121</v>
      </c>
      <c r="B17" s="0" t="n">
        <v>3</v>
      </c>
      <c r="C17" s="0" t="n">
        <v>4</v>
      </c>
      <c r="D17" s="0" t="n">
        <v>3</v>
      </c>
      <c r="E17" s="0" t="n">
        <v>2</v>
      </c>
      <c r="F17" s="0" t="n">
        <v>3</v>
      </c>
      <c r="G17" s="0" t="n">
        <v>3</v>
      </c>
      <c r="H17" s="0" t="n">
        <v>3</v>
      </c>
      <c r="I17" s="0" t="n">
        <v>3</v>
      </c>
      <c r="J17" s="0" t="n">
        <v>4</v>
      </c>
      <c r="K17" s="0" t="n">
        <v>3</v>
      </c>
      <c r="L17" s="0" t="n">
        <v>3</v>
      </c>
      <c r="M17" s="0" t="n">
        <v>4</v>
      </c>
      <c r="N17" s="0" t="n">
        <v>4</v>
      </c>
      <c r="O17" s="0" t="n">
        <v>4</v>
      </c>
      <c r="P17" s="0" t="n">
        <v>3</v>
      </c>
      <c r="Q17" s="0" t="n">
        <v>3</v>
      </c>
      <c r="R17" s="0" t="n">
        <v>4</v>
      </c>
      <c r="S17" s="0" t="n">
        <v>3</v>
      </c>
      <c r="T17" s="0" t="n">
        <v>3</v>
      </c>
      <c r="U17" s="0" t="n">
        <v>3</v>
      </c>
      <c r="V17" s="0" t="n">
        <v>4</v>
      </c>
      <c r="W17" s="0" t="n">
        <v>3</v>
      </c>
      <c r="X17" s="0" t="n">
        <v>3</v>
      </c>
      <c r="Y17" s="0" t="n">
        <v>3</v>
      </c>
      <c r="Z17" s="0" t="n">
        <v>3</v>
      </c>
      <c r="AA17" s="0" t="n">
        <v>3</v>
      </c>
      <c r="AB17" s="0" t="n">
        <v>3</v>
      </c>
      <c r="AC17" s="0" t="n">
        <v>3</v>
      </c>
      <c r="AD17" s="0" t="n">
        <v>3</v>
      </c>
      <c r="AE17" s="0" t="n">
        <v>3</v>
      </c>
      <c r="AF17" s="0" t="n">
        <v>2</v>
      </c>
      <c r="AG17" s="0" t="n">
        <v>4</v>
      </c>
      <c r="AI17" s="0" t="n">
        <f aca="false">5+AVERAGE(B17:AG17)-MOS!AI32</f>
        <v>4.1875</v>
      </c>
      <c r="AJ17" s="0" t="n">
        <f aca="false">AVERAGE(B17:AG17)</f>
        <v>3.1875</v>
      </c>
    </row>
    <row r="18" customFormat="false" ht="15" hidden="false" customHeight="false" outlineLevel="0" collapsed="false">
      <c r="A18" s="0" t="s">
        <v>122</v>
      </c>
      <c r="B18" s="0" t="n">
        <v>2</v>
      </c>
      <c r="C18" s="0" t="n">
        <v>1</v>
      </c>
      <c r="D18" s="0" t="n">
        <v>2</v>
      </c>
      <c r="E18" s="0" t="n">
        <v>3</v>
      </c>
      <c r="F18" s="0" t="n">
        <v>2</v>
      </c>
      <c r="G18" s="0" t="n">
        <v>2</v>
      </c>
      <c r="H18" s="0" t="n">
        <v>2</v>
      </c>
      <c r="I18" s="0" t="n">
        <v>3</v>
      </c>
      <c r="J18" s="0" t="n">
        <v>3</v>
      </c>
      <c r="K18" s="0" t="n">
        <v>2</v>
      </c>
      <c r="L18" s="0" t="n">
        <v>3</v>
      </c>
      <c r="M18" s="0" t="n">
        <v>2</v>
      </c>
      <c r="N18" s="0" t="n">
        <v>2</v>
      </c>
      <c r="O18" s="0" t="n">
        <v>3</v>
      </c>
      <c r="P18" s="0" t="n">
        <v>3</v>
      </c>
      <c r="Q18" s="0" t="n">
        <v>1</v>
      </c>
      <c r="R18" s="0" t="n">
        <v>3</v>
      </c>
      <c r="S18" s="0" t="n">
        <v>3</v>
      </c>
      <c r="T18" s="0" t="n">
        <v>3</v>
      </c>
      <c r="U18" s="0" t="n">
        <v>2</v>
      </c>
      <c r="V18" s="0" t="n">
        <v>3</v>
      </c>
      <c r="W18" s="0" t="n">
        <v>3</v>
      </c>
      <c r="X18" s="0" t="n">
        <v>2</v>
      </c>
      <c r="Y18" s="0" t="n">
        <v>1</v>
      </c>
      <c r="Z18" s="0" t="n">
        <v>2</v>
      </c>
      <c r="AA18" s="0" t="n">
        <v>3</v>
      </c>
      <c r="AB18" s="0" t="n">
        <v>2</v>
      </c>
      <c r="AC18" s="0" t="n">
        <v>3</v>
      </c>
      <c r="AD18" s="0" t="n">
        <v>2</v>
      </c>
      <c r="AE18" s="0" t="n">
        <v>3</v>
      </c>
      <c r="AF18" s="0" t="n">
        <v>2</v>
      </c>
      <c r="AG18" s="0" t="n">
        <v>3</v>
      </c>
      <c r="AI18" s="0" t="n">
        <f aca="false">5+AVERAGE(B18:AG18)-MOS!AI32</f>
        <v>3.375</v>
      </c>
      <c r="AJ18" s="0" t="n">
        <f aca="false">AVERAGE(B18:AG18)</f>
        <v>2.375</v>
      </c>
    </row>
    <row r="19" customFormat="false" ht="15" hidden="false" customHeight="false" outlineLevel="0" collapsed="false">
      <c r="A19" s="0" t="s">
        <v>123</v>
      </c>
      <c r="B19" s="0" t="n">
        <v>2</v>
      </c>
      <c r="C19" s="0" t="n">
        <v>2</v>
      </c>
      <c r="D19" s="0" t="n">
        <v>2</v>
      </c>
      <c r="E19" s="0" t="n">
        <v>1</v>
      </c>
      <c r="F19" s="0" t="n">
        <v>3</v>
      </c>
      <c r="G19" s="0" t="n">
        <v>3</v>
      </c>
      <c r="H19" s="0" t="n">
        <v>2</v>
      </c>
      <c r="I19" s="0" t="n">
        <v>2</v>
      </c>
      <c r="J19" s="0" t="n">
        <v>2</v>
      </c>
      <c r="K19" s="0" t="n">
        <v>1</v>
      </c>
      <c r="L19" s="0" t="n">
        <v>3</v>
      </c>
      <c r="M19" s="0" t="n">
        <v>3</v>
      </c>
      <c r="N19" s="0" t="n">
        <v>2</v>
      </c>
      <c r="O19" s="0" t="n">
        <v>2</v>
      </c>
      <c r="P19" s="0" t="n">
        <v>2</v>
      </c>
      <c r="Q19" s="0" t="n">
        <v>1</v>
      </c>
      <c r="R19" s="0" t="n">
        <v>3</v>
      </c>
      <c r="S19" s="0" t="n">
        <v>1</v>
      </c>
      <c r="T19" s="0" t="n">
        <v>2</v>
      </c>
      <c r="U19" s="0" t="n">
        <v>2</v>
      </c>
      <c r="V19" s="0" t="n">
        <v>2</v>
      </c>
      <c r="W19" s="0" t="n">
        <v>1</v>
      </c>
      <c r="X19" s="0" t="n">
        <v>2</v>
      </c>
      <c r="Y19" s="0" t="n">
        <v>1</v>
      </c>
      <c r="Z19" s="0" t="n">
        <v>2</v>
      </c>
      <c r="AA19" s="0" t="n">
        <v>2</v>
      </c>
      <c r="AB19" s="0" t="n">
        <v>1</v>
      </c>
      <c r="AC19" s="0" t="n">
        <v>2</v>
      </c>
      <c r="AD19" s="0" t="n">
        <v>3</v>
      </c>
      <c r="AE19" s="0" t="n">
        <v>2</v>
      </c>
      <c r="AF19" s="0" t="n">
        <v>1</v>
      </c>
      <c r="AG19" s="0" t="n">
        <v>2</v>
      </c>
      <c r="AI19" s="0" t="n">
        <f aca="false">5+AVERAGE(B19:AG19)-MOS!AI33</f>
        <v>2.65625</v>
      </c>
      <c r="AJ19" s="0" t="n">
        <f aca="false">AVERAGE(B19:AG19)</f>
        <v>1.9375</v>
      </c>
    </row>
    <row r="20" customFormat="false" ht="15" hidden="false" customHeight="false" outlineLevel="0" collapsed="false">
      <c r="A20" s="0" t="s">
        <v>124</v>
      </c>
      <c r="B20" s="0" t="n">
        <v>2</v>
      </c>
      <c r="C20" s="0" t="n">
        <v>1</v>
      </c>
      <c r="D20" s="0" t="n">
        <v>1</v>
      </c>
      <c r="E20" s="0" t="n">
        <v>2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1</v>
      </c>
      <c r="L20" s="0" t="n">
        <v>2</v>
      </c>
      <c r="M20" s="0" t="n">
        <v>1</v>
      </c>
      <c r="N20" s="0" t="n">
        <v>2</v>
      </c>
      <c r="O20" s="0" t="n">
        <v>1</v>
      </c>
      <c r="P20" s="0" t="n">
        <v>1</v>
      </c>
      <c r="Q20" s="0" t="n">
        <v>1</v>
      </c>
      <c r="R20" s="0" t="n">
        <v>3</v>
      </c>
      <c r="S20" s="0" t="n">
        <v>1</v>
      </c>
      <c r="T20" s="0" t="n">
        <v>3</v>
      </c>
      <c r="U20" s="0" t="n">
        <v>3</v>
      </c>
      <c r="V20" s="0" t="n">
        <v>2</v>
      </c>
      <c r="W20" s="0" t="n">
        <v>2</v>
      </c>
      <c r="X20" s="0" t="n">
        <v>2</v>
      </c>
      <c r="Y20" s="0" t="n">
        <v>2</v>
      </c>
      <c r="Z20" s="0" t="n">
        <v>2</v>
      </c>
      <c r="AA20" s="0" t="n">
        <v>2</v>
      </c>
      <c r="AB20" s="0" t="n">
        <v>1</v>
      </c>
      <c r="AC20" s="0" t="n">
        <v>2</v>
      </c>
      <c r="AD20" s="0" t="n">
        <v>1</v>
      </c>
      <c r="AE20" s="0" t="n">
        <v>1</v>
      </c>
      <c r="AF20" s="0" t="n">
        <v>1</v>
      </c>
      <c r="AG20" s="0" t="n">
        <v>2</v>
      </c>
      <c r="AI20" s="0" t="n">
        <f aca="false">5+AVERAGE(B20:AG20)-MOS!AI31</f>
        <v>2.71875</v>
      </c>
      <c r="AJ20" s="0" t="n">
        <f aca="false">AVERAGE(B20:AG20)</f>
        <v>1.6875</v>
      </c>
    </row>
    <row r="21" customFormat="false" ht="15" hidden="false" customHeight="false" outlineLevel="0" collapsed="false">
      <c r="A21" s="0" t="s">
        <v>125</v>
      </c>
      <c r="B21" s="0" t="n">
        <v>2</v>
      </c>
      <c r="C21" s="0" t="n">
        <v>2</v>
      </c>
      <c r="D21" s="0" t="n">
        <v>2</v>
      </c>
      <c r="E21" s="0" t="n">
        <v>2</v>
      </c>
      <c r="F21" s="0" t="n">
        <v>3</v>
      </c>
      <c r="G21" s="0" t="n">
        <v>3</v>
      </c>
      <c r="H21" s="0" t="n">
        <v>2</v>
      </c>
      <c r="I21" s="0" t="n">
        <v>3</v>
      </c>
      <c r="J21" s="0" t="n">
        <v>2</v>
      </c>
      <c r="K21" s="0" t="n">
        <v>2</v>
      </c>
      <c r="L21" s="0" t="n">
        <v>3</v>
      </c>
      <c r="M21" s="0" t="n">
        <v>2</v>
      </c>
      <c r="N21" s="0" t="n">
        <v>3</v>
      </c>
      <c r="O21" s="0" t="n">
        <v>3</v>
      </c>
      <c r="P21" s="0" t="n">
        <v>2</v>
      </c>
      <c r="Q21" s="0" t="n">
        <v>2</v>
      </c>
      <c r="R21" s="0" t="n">
        <v>3</v>
      </c>
      <c r="S21" s="0" t="n">
        <v>2</v>
      </c>
      <c r="T21" s="0" t="n">
        <v>3</v>
      </c>
      <c r="U21" s="0" t="n">
        <v>3</v>
      </c>
      <c r="V21" s="0" t="n">
        <v>3</v>
      </c>
      <c r="W21" s="0" t="n">
        <v>2</v>
      </c>
      <c r="X21" s="0" t="n">
        <v>2</v>
      </c>
      <c r="Y21" s="0" t="n">
        <v>3</v>
      </c>
      <c r="Z21" s="0" t="n">
        <v>3</v>
      </c>
      <c r="AA21" s="0" t="n">
        <v>2</v>
      </c>
      <c r="AB21" s="0" t="n">
        <v>3</v>
      </c>
      <c r="AC21" s="0" t="n">
        <v>2</v>
      </c>
      <c r="AD21" s="0" t="n">
        <v>2</v>
      </c>
      <c r="AE21" s="0" t="n">
        <v>2</v>
      </c>
      <c r="AF21" s="0" t="n">
        <v>2</v>
      </c>
      <c r="AG21" s="0" t="n">
        <v>2</v>
      </c>
      <c r="AI21" s="0" t="n">
        <f aca="false">5+AVERAGE(B21:AG21)-MOS!AI32</f>
        <v>3.40625</v>
      </c>
      <c r="AJ21" s="0" t="n">
        <f aca="false">AVERAGE(B21:AG21)</f>
        <v>2.40625</v>
      </c>
    </row>
    <row r="22" customFormat="false" ht="15" hidden="false" customHeight="false" outlineLevel="0" collapsed="false">
      <c r="A22" s="0" t="s">
        <v>126</v>
      </c>
      <c r="B22" s="0" t="n">
        <v>3</v>
      </c>
      <c r="C22" s="0" t="n">
        <v>2</v>
      </c>
      <c r="D22" s="0" t="n">
        <v>2</v>
      </c>
      <c r="E22" s="0" t="n">
        <v>3</v>
      </c>
      <c r="F22" s="0" t="n">
        <v>1</v>
      </c>
      <c r="G22" s="0" t="n">
        <v>2</v>
      </c>
      <c r="H22" s="0" t="n">
        <v>2</v>
      </c>
      <c r="I22" s="0" t="n">
        <v>3</v>
      </c>
      <c r="J22" s="0" t="n">
        <v>3</v>
      </c>
      <c r="K22" s="0" t="n">
        <v>1</v>
      </c>
      <c r="L22" s="0" t="n">
        <v>3</v>
      </c>
      <c r="M22" s="0" t="n">
        <v>3</v>
      </c>
      <c r="N22" s="0" t="n">
        <v>3</v>
      </c>
      <c r="O22" s="0" t="n">
        <v>2</v>
      </c>
      <c r="P22" s="0" t="n">
        <v>2</v>
      </c>
      <c r="Q22" s="0" t="n">
        <v>2</v>
      </c>
      <c r="R22" s="0" t="n">
        <v>3</v>
      </c>
      <c r="S22" s="0" t="n">
        <v>2</v>
      </c>
      <c r="T22" s="0" t="n">
        <v>2</v>
      </c>
      <c r="U22" s="0" t="n">
        <v>3</v>
      </c>
      <c r="V22" s="0" t="n">
        <v>3</v>
      </c>
      <c r="W22" s="0" t="n">
        <v>2</v>
      </c>
      <c r="X22" s="0" t="n">
        <v>2</v>
      </c>
      <c r="Y22" s="0" t="n">
        <v>1</v>
      </c>
      <c r="Z22" s="0" t="n">
        <v>3</v>
      </c>
      <c r="AA22" s="0" t="n">
        <v>3</v>
      </c>
      <c r="AB22" s="0" t="n">
        <v>2</v>
      </c>
      <c r="AC22" s="0" t="n">
        <v>2</v>
      </c>
      <c r="AD22" s="0" t="n">
        <v>2</v>
      </c>
      <c r="AE22" s="0" t="n">
        <v>3</v>
      </c>
      <c r="AF22" s="0" t="n">
        <v>2</v>
      </c>
      <c r="AG22" s="0" t="n">
        <v>3</v>
      </c>
      <c r="AI22" s="0" t="n">
        <f aca="false">5+AVERAGE(B22:AG22)-MOS!AI32</f>
        <v>3.34375</v>
      </c>
      <c r="AJ22" s="0" t="n">
        <f aca="false">AVERAGE(B22:AG22)</f>
        <v>2.34375</v>
      </c>
    </row>
    <row r="23" customFormat="false" ht="15" hidden="false" customHeight="false" outlineLevel="0" collapsed="false">
      <c r="A23" s="0" t="s">
        <v>127</v>
      </c>
      <c r="B23" s="0" t="n">
        <v>2</v>
      </c>
      <c r="C23" s="0" t="n">
        <v>2</v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2</v>
      </c>
      <c r="I23" s="0" t="n">
        <v>3</v>
      </c>
      <c r="J23" s="0" t="n">
        <v>2</v>
      </c>
      <c r="K23" s="0" t="n">
        <v>1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2</v>
      </c>
      <c r="Q23" s="0" t="n">
        <v>1</v>
      </c>
      <c r="R23" s="0" t="n">
        <v>3</v>
      </c>
      <c r="S23" s="0" t="n">
        <v>2</v>
      </c>
      <c r="T23" s="0" t="n">
        <v>2</v>
      </c>
      <c r="U23" s="0" t="n">
        <v>2</v>
      </c>
      <c r="V23" s="0" t="n">
        <v>3</v>
      </c>
      <c r="W23" s="0" t="n">
        <v>2</v>
      </c>
      <c r="X23" s="0" t="n">
        <v>2</v>
      </c>
      <c r="Y23" s="0" t="n">
        <v>1</v>
      </c>
      <c r="Z23" s="0" t="n">
        <v>2</v>
      </c>
      <c r="AA23" s="0" t="n">
        <v>2</v>
      </c>
      <c r="AB23" s="0" t="n">
        <v>2</v>
      </c>
      <c r="AC23" s="0" t="n">
        <v>2</v>
      </c>
      <c r="AD23" s="0" t="n">
        <v>2</v>
      </c>
      <c r="AE23" s="0" t="n">
        <v>2</v>
      </c>
      <c r="AF23" s="0" t="n">
        <v>1</v>
      </c>
      <c r="AG23" s="0" t="n">
        <v>2</v>
      </c>
      <c r="AI23" s="0" t="n">
        <f aca="false">5+AVERAGE(B23:AG23)-MOS!AI33</f>
        <v>2.6875</v>
      </c>
      <c r="AJ23" s="0" t="n">
        <f aca="false">AVERAGE(B23:AG23)</f>
        <v>1.96875</v>
      </c>
    </row>
    <row r="24" customFormat="false" ht="15" hidden="false" customHeight="false" outlineLevel="0" collapsed="false">
      <c r="A24" s="0" t="s">
        <v>128</v>
      </c>
      <c r="B24" s="0" t="n">
        <v>2</v>
      </c>
      <c r="C24" s="0" t="n">
        <v>2</v>
      </c>
      <c r="D24" s="0" t="n">
        <v>2</v>
      </c>
      <c r="E24" s="0" t="n">
        <v>2</v>
      </c>
      <c r="F24" s="0" t="n">
        <v>2</v>
      </c>
      <c r="G24" s="0" t="n">
        <v>2</v>
      </c>
      <c r="H24" s="0" t="n">
        <v>2</v>
      </c>
      <c r="I24" s="0" t="n">
        <v>3</v>
      </c>
      <c r="J24" s="0" t="n">
        <v>2</v>
      </c>
      <c r="K24" s="0" t="n">
        <v>1</v>
      </c>
      <c r="L24" s="0" t="n">
        <v>2</v>
      </c>
      <c r="M24" s="0" t="n">
        <v>2</v>
      </c>
      <c r="N24" s="0" t="n">
        <v>2</v>
      </c>
      <c r="O24" s="0" t="n">
        <v>3</v>
      </c>
      <c r="P24" s="0" t="n">
        <v>2</v>
      </c>
      <c r="Q24" s="0" t="n">
        <v>1</v>
      </c>
      <c r="R24" s="0" t="n">
        <v>3</v>
      </c>
      <c r="S24" s="0" t="n">
        <v>1</v>
      </c>
      <c r="T24" s="0" t="n">
        <v>2</v>
      </c>
      <c r="U24" s="0" t="n">
        <v>2</v>
      </c>
      <c r="V24" s="0" t="n">
        <v>2</v>
      </c>
      <c r="W24" s="0" t="n">
        <v>2</v>
      </c>
      <c r="X24" s="0" t="n">
        <v>2</v>
      </c>
      <c r="Y24" s="0" t="n">
        <v>1</v>
      </c>
      <c r="Z24" s="0" t="n">
        <v>2</v>
      </c>
      <c r="AA24" s="0" t="n">
        <v>2</v>
      </c>
      <c r="AB24" s="0" t="n">
        <v>3</v>
      </c>
      <c r="AC24" s="0" t="n">
        <v>2</v>
      </c>
      <c r="AD24" s="0" t="n">
        <v>2</v>
      </c>
      <c r="AE24" s="0" t="n">
        <v>2</v>
      </c>
      <c r="AF24" s="0" t="n">
        <v>1</v>
      </c>
      <c r="AG24" s="0" t="n">
        <v>2</v>
      </c>
      <c r="AI24" s="0" t="n">
        <f aca="false">5+AVERAGE(B24:AG24)-MOS!AI31</f>
        <v>3</v>
      </c>
      <c r="AJ24" s="0" t="n">
        <f aca="false">AVERAGE(B24:AG24)</f>
        <v>1.96875</v>
      </c>
    </row>
    <row r="25" customFormat="false" ht="15" hidden="false" customHeight="false" outlineLevel="0" collapsed="false">
      <c r="A25" s="0" t="s">
        <v>129</v>
      </c>
      <c r="B25" s="0" t="n">
        <v>2</v>
      </c>
      <c r="C25" s="0" t="n">
        <v>3</v>
      </c>
      <c r="D25" s="0" t="n">
        <v>3</v>
      </c>
      <c r="E25" s="0" t="n">
        <v>2</v>
      </c>
      <c r="F25" s="0" t="n">
        <v>3</v>
      </c>
      <c r="G25" s="0" t="n">
        <v>3</v>
      </c>
      <c r="H25" s="0" t="n">
        <v>3</v>
      </c>
      <c r="I25" s="0" t="n">
        <v>4</v>
      </c>
      <c r="J25" s="0" t="n">
        <v>3</v>
      </c>
      <c r="K25" s="0" t="n">
        <v>2</v>
      </c>
      <c r="L25" s="0" t="n">
        <v>3</v>
      </c>
      <c r="M25" s="0" t="n">
        <v>3</v>
      </c>
      <c r="N25" s="0" t="n">
        <v>3</v>
      </c>
      <c r="O25" s="0" t="n">
        <v>3</v>
      </c>
      <c r="P25" s="0" t="n">
        <v>2</v>
      </c>
      <c r="Q25" s="0" t="n">
        <v>2</v>
      </c>
      <c r="R25" s="0" t="n">
        <v>4</v>
      </c>
      <c r="S25" s="0" t="n">
        <v>3</v>
      </c>
      <c r="T25" s="0" t="n">
        <v>2</v>
      </c>
      <c r="U25" s="0" t="n">
        <v>4</v>
      </c>
      <c r="V25" s="0" t="n">
        <v>3</v>
      </c>
      <c r="W25" s="0" t="n">
        <v>3</v>
      </c>
      <c r="X25" s="0" t="n">
        <v>3</v>
      </c>
      <c r="Y25" s="0" t="n">
        <v>3</v>
      </c>
      <c r="Z25" s="0" t="n">
        <v>4</v>
      </c>
      <c r="AA25" s="0" t="n">
        <v>4</v>
      </c>
      <c r="AB25" s="0" t="n">
        <v>3</v>
      </c>
      <c r="AC25" s="0" t="n">
        <v>2</v>
      </c>
      <c r="AD25" s="0" t="n">
        <v>3</v>
      </c>
      <c r="AE25" s="0" t="n">
        <v>3</v>
      </c>
      <c r="AF25" s="0" t="n">
        <v>2</v>
      </c>
      <c r="AG25" s="0" t="n">
        <v>3</v>
      </c>
      <c r="AI25" s="0" t="n">
        <f aca="false">5+AVERAGE(B25:AG25)-MOS!AI32</f>
        <v>3.90625</v>
      </c>
      <c r="AJ25" s="0" t="n">
        <f aca="false">AVERAGE(B25:AG25)</f>
        <v>2.90625</v>
      </c>
    </row>
    <row r="26" customFormat="false" ht="15" hidden="false" customHeight="false" outlineLevel="0" collapsed="false">
      <c r="A26" s="0" t="s">
        <v>130</v>
      </c>
      <c r="B26" s="0" t="n">
        <v>2</v>
      </c>
      <c r="C26" s="0" t="n">
        <v>2</v>
      </c>
      <c r="D26" s="0" t="n">
        <v>3</v>
      </c>
      <c r="E26" s="0" t="n">
        <v>3</v>
      </c>
      <c r="F26" s="0" t="n">
        <v>3</v>
      </c>
      <c r="G26" s="0" t="n">
        <v>2</v>
      </c>
      <c r="H26" s="0" t="n">
        <v>2</v>
      </c>
      <c r="I26" s="0" t="n">
        <v>3</v>
      </c>
      <c r="J26" s="0" t="n">
        <v>3</v>
      </c>
      <c r="K26" s="0" t="n">
        <v>2</v>
      </c>
      <c r="L26" s="0" t="n">
        <v>3</v>
      </c>
      <c r="M26" s="0" t="n">
        <v>4</v>
      </c>
      <c r="N26" s="0" t="n">
        <v>3</v>
      </c>
      <c r="O26" s="0" t="n">
        <v>2</v>
      </c>
      <c r="P26" s="0" t="n">
        <v>2</v>
      </c>
      <c r="Q26" s="0" t="n">
        <v>1</v>
      </c>
      <c r="R26" s="0" t="n">
        <v>4</v>
      </c>
      <c r="S26" s="0" t="n">
        <v>3</v>
      </c>
      <c r="T26" s="0" t="n">
        <v>3</v>
      </c>
      <c r="U26" s="0" t="n">
        <v>2</v>
      </c>
      <c r="V26" s="0" t="n">
        <v>3</v>
      </c>
      <c r="W26" s="0" t="n">
        <v>3</v>
      </c>
      <c r="X26" s="0" t="n">
        <v>2</v>
      </c>
      <c r="Y26" s="0" t="n">
        <v>1</v>
      </c>
      <c r="Z26" s="0" t="n">
        <v>2</v>
      </c>
      <c r="AA26" s="0" t="n">
        <v>3</v>
      </c>
      <c r="AB26" s="0" t="n">
        <v>3</v>
      </c>
      <c r="AC26" s="0" t="n">
        <v>2</v>
      </c>
      <c r="AD26" s="0" t="n">
        <v>2</v>
      </c>
      <c r="AE26" s="0" t="n">
        <v>2</v>
      </c>
      <c r="AF26" s="0" t="n">
        <v>1</v>
      </c>
      <c r="AG26" s="0" t="n">
        <v>3</v>
      </c>
      <c r="AI26" s="0" t="n">
        <f aca="false">5+AVERAGE(B26:AG26)-MOS!AI32</f>
        <v>3.46875</v>
      </c>
      <c r="AJ26" s="0" t="n">
        <f aca="false">AVERAGE(B26:AG26)</f>
        <v>2.46875</v>
      </c>
    </row>
    <row r="27" customFormat="false" ht="15" hidden="false" customHeight="false" outlineLevel="0" collapsed="false">
      <c r="A27" s="0" t="s">
        <v>131</v>
      </c>
      <c r="B27" s="0" t="n">
        <v>2</v>
      </c>
      <c r="C27" s="0" t="n">
        <v>2</v>
      </c>
      <c r="D27" s="0" t="n">
        <v>2</v>
      </c>
      <c r="E27" s="0" t="n">
        <v>2</v>
      </c>
      <c r="F27" s="0" t="n">
        <v>2</v>
      </c>
      <c r="G27" s="0" t="n">
        <v>2</v>
      </c>
      <c r="H27" s="0" t="n">
        <v>2</v>
      </c>
      <c r="I27" s="0" t="n">
        <v>3</v>
      </c>
      <c r="J27" s="0" t="n">
        <v>1</v>
      </c>
      <c r="K27" s="0" t="n">
        <v>1</v>
      </c>
      <c r="L27" s="0" t="n">
        <v>2</v>
      </c>
      <c r="M27" s="0" t="n">
        <v>1</v>
      </c>
      <c r="N27" s="0" t="n">
        <v>2</v>
      </c>
      <c r="O27" s="0" t="n">
        <v>3</v>
      </c>
      <c r="P27" s="0" t="n">
        <v>1</v>
      </c>
      <c r="Q27" s="0" t="n">
        <v>1</v>
      </c>
      <c r="R27" s="0" t="n">
        <v>3</v>
      </c>
      <c r="S27" s="0" t="n">
        <v>1</v>
      </c>
      <c r="T27" s="0" t="n">
        <v>2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1</v>
      </c>
      <c r="Z27" s="0" t="n">
        <v>2</v>
      </c>
      <c r="AA27" s="0" t="n">
        <v>2</v>
      </c>
      <c r="AB27" s="0" t="n">
        <v>2</v>
      </c>
      <c r="AC27" s="0" t="n">
        <v>2</v>
      </c>
      <c r="AD27" s="0" t="n">
        <v>2</v>
      </c>
      <c r="AE27" s="0" t="n">
        <v>2</v>
      </c>
      <c r="AF27" s="0" t="n">
        <v>1</v>
      </c>
      <c r="AG27" s="0" t="n">
        <v>2</v>
      </c>
      <c r="AI27" s="0" t="n">
        <f aca="false">5+AVERAGE(B27:AG27)-MOS!AI33</f>
        <v>2.5625</v>
      </c>
      <c r="AJ27" s="0" t="n">
        <f aca="false">AVERAGE(B27:AG27)</f>
        <v>1.84375</v>
      </c>
    </row>
    <row r="28" customFormat="false" ht="15" hidden="false" customHeight="false" outlineLevel="0" collapsed="false">
      <c r="A28" s="0" t="s">
        <v>132</v>
      </c>
      <c r="B28" s="0" t="n">
        <v>3</v>
      </c>
      <c r="C28" s="0" t="n">
        <v>2</v>
      </c>
      <c r="D28" s="0" t="n">
        <v>2</v>
      </c>
      <c r="E28" s="0" t="n">
        <v>2</v>
      </c>
      <c r="F28" s="0" t="n">
        <v>2</v>
      </c>
      <c r="G28" s="0" t="n">
        <v>2</v>
      </c>
      <c r="H28" s="0" t="n">
        <v>1</v>
      </c>
      <c r="I28" s="0" t="n">
        <v>3</v>
      </c>
      <c r="J28" s="0" t="n">
        <v>2</v>
      </c>
      <c r="K28" s="0" t="n">
        <v>1</v>
      </c>
      <c r="L28" s="0" t="n">
        <v>3</v>
      </c>
      <c r="M28" s="0" t="n">
        <v>2</v>
      </c>
      <c r="N28" s="0" t="n">
        <v>2</v>
      </c>
      <c r="O28" s="0" t="n">
        <v>2</v>
      </c>
      <c r="P28" s="0" t="n">
        <v>2</v>
      </c>
      <c r="Q28" s="0" t="n">
        <v>1</v>
      </c>
      <c r="R28" s="0" t="n">
        <v>3</v>
      </c>
      <c r="S28" s="0" t="n">
        <v>1</v>
      </c>
      <c r="T28" s="0" t="n">
        <v>2</v>
      </c>
      <c r="U28" s="0" t="n">
        <v>2</v>
      </c>
      <c r="V28" s="0" t="n">
        <v>2</v>
      </c>
      <c r="W28" s="0" t="n">
        <v>3</v>
      </c>
      <c r="X28" s="0" t="n">
        <v>1</v>
      </c>
      <c r="Y28" s="0" t="n">
        <v>1</v>
      </c>
      <c r="Z28" s="0" t="n">
        <v>2</v>
      </c>
      <c r="AA28" s="0" t="n">
        <v>2</v>
      </c>
      <c r="AB28" s="0" t="n">
        <v>2</v>
      </c>
      <c r="AC28" s="0" t="n">
        <v>2</v>
      </c>
      <c r="AD28" s="0" t="n">
        <v>1</v>
      </c>
      <c r="AE28" s="0" t="n">
        <v>1</v>
      </c>
      <c r="AF28" s="0" t="n">
        <v>1</v>
      </c>
      <c r="AG28" s="0" t="n">
        <v>2</v>
      </c>
      <c r="AI28" s="0" t="n">
        <f aca="false">5+AVERAGE(B28:AG28)-MOS!AI31</f>
        <v>2.90625</v>
      </c>
      <c r="AJ28" s="0" t="n">
        <f aca="false">AVERAGE(B28:AG28)</f>
        <v>1.875</v>
      </c>
    </row>
    <row r="29" customFormat="false" ht="15" hidden="false" customHeight="false" outlineLevel="0" collapsed="false">
      <c r="A29" s="0" t="s">
        <v>133</v>
      </c>
      <c r="B29" s="0" t="n">
        <v>3</v>
      </c>
      <c r="C29" s="0" t="n">
        <v>3</v>
      </c>
      <c r="D29" s="0" t="n">
        <v>2</v>
      </c>
      <c r="E29" s="0" t="n">
        <v>2</v>
      </c>
      <c r="F29" s="0" t="n">
        <v>3</v>
      </c>
      <c r="G29" s="0" t="n">
        <v>2</v>
      </c>
      <c r="H29" s="0" t="n">
        <v>2</v>
      </c>
      <c r="I29" s="0" t="n">
        <v>3</v>
      </c>
      <c r="J29" s="0" t="n">
        <v>2</v>
      </c>
      <c r="K29" s="0" t="n">
        <v>2</v>
      </c>
      <c r="L29" s="0" t="n">
        <v>3</v>
      </c>
      <c r="M29" s="0" t="n">
        <v>2</v>
      </c>
      <c r="N29" s="0" t="n">
        <v>4</v>
      </c>
      <c r="O29" s="0" t="n">
        <v>2</v>
      </c>
      <c r="P29" s="0" t="n">
        <v>2</v>
      </c>
      <c r="Q29" s="0" t="n">
        <v>1</v>
      </c>
      <c r="R29" s="0" t="n">
        <v>3</v>
      </c>
      <c r="S29" s="0" t="n">
        <v>1</v>
      </c>
      <c r="T29" s="0" t="n">
        <v>3</v>
      </c>
      <c r="U29" s="0" t="n">
        <v>3</v>
      </c>
      <c r="V29" s="0" t="n">
        <v>3</v>
      </c>
      <c r="W29" s="0" t="n">
        <v>2</v>
      </c>
      <c r="X29" s="0" t="n">
        <v>2</v>
      </c>
      <c r="Y29" s="0" t="n">
        <v>3</v>
      </c>
      <c r="Z29" s="0" t="n">
        <v>2</v>
      </c>
      <c r="AA29" s="0" t="n">
        <v>3</v>
      </c>
      <c r="AB29" s="0" t="n">
        <v>3</v>
      </c>
      <c r="AC29" s="0" t="n">
        <v>3</v>
      </c>
      <c r="AD29" s="0" t="n">
        <v>3</v>
      </c>
      <c r="AE29" s="0" t="n">
        <v>2</v>
      </c>
      <c r="AF29" s="0" t="n">
        <v>2</v>
      </c>
      <c r="AG29" s="0" t="n">
        <v>2</v>
      </c>
      <c r="AI29" s="0" t="n">
        <f aca="false">5+AVERAGE(B29:AG29)-MOS!AI32</f>
        <v>3.4375</v>
      </c>
      <c r="AJ29" s="0" t="n">
        <f aca="false">AVERAGE(B29:AG29)</f>
        <v>2.4375</v>
      </c>
    </row>
    <row r="30" customFormat="false" ht="15" hidden="false" customHeight="false" outlineLevel="0" collapsed="false">
      <c r="A30" s="0" t="s">
        <v>134</v>
      </c>
      <c r="B30" s="0" t="n">
        <v>2</v>
      </c>
      <c r="C30" s="0" t="n">
        <v>2</v>
      </c>
      <c r="D30" s="0" t="n">
        <v>3</v>
      </c>
      <c r="E30" s="0" t="n">
        <v>3</v>
      </c>
      <c r="F30" s="0" t="n">
        <v>2</v>
      </c>
      <c r="G30" s="0" t="n">
        <v>3</v>
      </c>
      <c r="H30" s="0" t="n">
        <v>2</v>
      </c>
      <c r="I30" s="0" t="n">
        <v>3</v>
      </c>
      <c r="J30" s="0" t="n">
        <v>3</v>
      </c>
      <c r="K30" s="0" t="n">
        <v>1</v>
      </c>
      <c r="L30" s="0" t="n">
        <v>2</v>
      </c>
      <c r="M30" s="0" t="n">
        <v>2</v>
      </c>
      <c r="N30" s="0" t="n">
        <v>3</v>
      </c>
      <c r="O30" s="0" t="n">
        <v>3</v>
      </c>
      <c r="P30" s="0" t="n">
        <v>2</v>
      </c>
      <c r="Q30" s="0" t="n">
        <v>1</v>
      </c>
      <c r="R30" s="0" t="n">
        <v>3</v>
      </c>
      <c r="S30" s="0" t="n">
        <v>1</v>
      </c>
      <c r="T30" s="0" t="n">
        <v>2</v>
      </c>
      <c r="U30" s="0" t="n">
        <v>2</v>
      </c>
      <c r="V30" s="0" t="n">
        <v>2</v>
      </c>
      <c r="W30" s="0" t="n">
        <v>3</v>
      </c>
      <c r="X30" s="0" t="n">
        <v>2</v>
      </c>
      <c r="Y30" s="0" t="n">
        <v>3</v>
      </c>
      <c r="Z30" s="0" t="n">
        <v>2</v>
      </c>
      <c r="AA30" s="0" t="n">
        <v>3</v>
      </c>
      <c r="AB30" s="0" t="n">
        <v>2</v>
      </c>
      <c r="AC30" s="0" t="n">
        <v>2</v>
      </c>
      <c r="AD30" s="0" t="n">
        <v>2</v>
      </c>
      <c r="AE30" s="0" t="n">
        <v>1</v>
      </c>
      <c r="AF30" s="0" t="n">
        <v>2</v>
      </c>
      <c r="AG30" s="0" t="n">
        <v>3</v>
      </c>
      <c r="AI30" s="0" t="n">
        <f aca="false">5+AVERAGE(B30:AG30)-MOS!AI32</f>
        <v>3.25</v>
      </c>
      <c r="AJ30" s="0" t="n">
        <f aca="false">AVERAGE(B30:AG30)</f>
        <v>2.25</v>
      </c>
    </row>
    <row r="31" customFormat="false" ht="15" hidden="false" customHeight="false" outlineLevel="0" collapsed="false">
      <c r="A31" s="0" t="s">
        <v>135</v>
      </c>
      <c r="B31" s="0" t="n">
        <v>3</v>
      </c>
      <c r="C31" s="0" t="n">
        <v>3</v>
      </c>
      <c r="D31" s="0" t="n">
        <v>4</v>
      </c>
      <c r="E31" s="0" t="n">
        <v>3</v>
      </c>
      <c r="F31" s="0" t="n">
        <v>5</v>
      </c>
      <c r="G31" s="0" t="n">
        <v>5</v>
      </c>
      <c r="H31" s="0" t="n">
        <v>3</v>
      </c>
      <c r="I31" s="0" t="n">
        <v>5</v>
      </c>
      <c r="J31" s="0" t="n">
        <v>5</v>
      </c>
      <c r="K31" s="0" t="n">
        <v>2</v>
      </c>
      <c r="L31" s="0" t="n">
        <v>4</v>
      </c>
      <c r="M31" s="0" t="n">
        <v>3</v>
      </c>
      <c r="N31" s="0" t="n">
        <v>5</v>
      </c>
      <c r="O31" s="0" t="n">
        <v>2</v>
      </c>
      <c r="P31" s="0" t="n">
        <v>3</v>
      </c>
      <c r="Q31" s="0" t="n">
        <v>4</v>
      </c>
      <c r="R31" s="0" t="n">
        <v>4</v>
      </c>
      <c r="S31" s="0" t="n">
        <v>4</v>
      </c>
      <c r="T31" s="0" t="n">
        <v>5</v>
      </c>
      <c r="U31" s="0" t="n">
        <v>5</v>
      </c>
      <c r="V31" s="0" t="n">
        <v>4</v>
      </c>
      <c r="W31" s="0" t="n">
        <v>5</v>
      </c>
      <c r="X31" s="0" t="n">
        <v>3</v>
      </c>
      <c r="Y31" s="0" t="n">
        <v>5</v>
      </c>
      <c r="Z31" s="0" t="n">
        <v>4</v>
      </c>
      <c r="AA31" s="0" t="n">
        <v>4</v>
      </c>
      <c r="AB31" s="0" t="n">
        <v>4</v>
      </c>
      <c r="AC31" s="0" t="n">
        <v>4</v>
      </c>
      <c r="AD31" s="0" t="n">
        <v>4</v>
      </c>
      <c r="AE31" s="0" t="n">
        <v>5</v>
      </c>
      <c r="AF31" s="0" t="n">
        <v>3</v>
      </c>
      <c r="AG31" s="0" t="n">
        <v>5</v>
      </c>
      <c r="AI31" s="0" t="n">
        <f aca="false">5+AVERAGE(B31:AG31)-MOS!AI31</f>
        <v>5</v>
      </c>
      <c r="AJ31" s="0" t="n">
        <f aca="false">AVERAGE(B31:AG31)</f>
        <v>3.96875</v>
      </c>
    </row>
    <row r="32" customFormat="false" ht="15" hidden="false" customHeight="false" outlineLevel="0" collapsed="false">
      <c r="A32" s="0" t="s">
        <v>136</v>
      </c>
      <c r="B32" s="0" t="n">
        <v>4</v>
      </c>
      <c r="C32" s="0" t="n">
        <v>3</v>
      </c>
      <c r="D32" s="0" t="n">
        <v>4</v>
      </c>
      <c r="E32" s="0" t="n">
        <v>3</v>
      </c>
      <c r="F32" s="0" t="n">
        <v>4</v>
      </c>
      <c r="G32" s="0" t="n">
        <v>5</v>
      </c>
      <c r="H32" s="0" t="n">
        <v>3</v>
      </c>
      <c r="I32" s="0" t="n">
        <v>5</v>
      </c>
      <c r="J32" s="0" t="n">
        <v>5</v>
      </c>
      <c r="K32" s="0" t="n">
        <v>2</v>
      </c>
      <c r="L32" s="0" t="n">
        <v>4</v>
      </c>
      <c r="M32" s="0" t="n">
        <v>4</v>
      </c>
      <c r="N32" s="0" t="n">
        <v>4</v>
      </c>
      <c r="O32" s="0" t="n">
        <v>3</v>
      </c>
      <c r="P32" s="0" t="n">
        <v>4</v>
      </c>
      <c r="Q32" s="0" t="n">
        <v>5</v>
      </c>
      <c r="R32" s="0" t="n">
        <v>5</v>
      </c>
      <c r="S32" s="0" t="n">
        <v>4</v>
      </c>
      <c r="T32" s="0" t="n">
        <v>5</v>
      </c>
      <c r="U32" s="0" t="n">
        <v>4</v>
      </c>
      <c r="V32" s="0" t="n">
        <v>5</v>
      </c>
      <c r="W32" s="0" t="n">
        <v>3</v>
      </c>
      <c r="X32" s="0" t="n">
        <v>4</v>
      </c>
      <c r="Y32" s="0" t="n">
        <v>5</v>
      </c>
      <c r="Z32" s="0" t="n">
        <v>4</v>
      </c>
      <c r="AA32" s="0" t="n">
        <v>5</v>
      </c>
      <c r="AB32" s="0" t="n">
        <v>5</v>
      </c>
      <c r="AC32" s="0" t="n">
        <v>4</v>
      </c>
      <c r="AD32" s="0" t="n">
        <v>4</v>
      </c>
      <c r="AE32" s="0" t="n">
        <v>3</v>
      </c>
      <c r="AF32" s="0" t="n">
        <v>2</v>
      </c>
      <c r="AG32" s="0" t="n">
        <v>4</v>
      </c>
      <c r="AI32" s="0" t="n">
        <f aca="false">5+AVERAGE(B32:AG32)-MOS!AI32</f>
        <v>5</v>
      </c>
      <c r="AJ32" s="0" t="n">
        <f aca="false">AVERAGE(B32:AG32)</f>
        <v>4</v>
      </c>
    </row>
    <row r="33" customFormat="false" ht="15" hidden="false" customHeight="false" outlineLevel="0" collapsed="false">
      <c r="A33" s="0" t="s">
        <v>137</v>
      </c>
      <c r="B33" s="0" t="n">
        <v>4</v>
      </c>
      <c r="C33" s="0" t="n">
        <v>4</v>
      </c>
      <c r="D33" s="0" t="n">
        <v>4</v>
      </c>
      <c r="E33" s="0" t="n">
        <v>2</v>
      </c>
      <c r="F33" s="0" t="n">
        <v>5</v>
      </c>
      <c r="G33" s="0" t="n">
        <v>4</v>
      </c>
      <c r="H33" s="0" t="n">
        <v>4</v>
      </c>
      <c r="I33" s="0" t="n">
        <v>4</v>
      </c>
      <c r="J33" s="0" t="n">
        <v>5</v>
      </c>
      <c r="K33" s="0" t="n">
        <v>1</v>
      </c>
      <c r="L33" s="0" t="n">
        <v>4</v>
      </c>
      <c r="M33" s="0" t="n">
        <v>5</v>
      </c>
      <c r="N33" s="0" t="n">
        <v>5</v>
      </c>
      <c r="O33" s="0" t="n">
        <v>5</v>
      </c>
      <c r="P33" s="0" t="n">
        <v>4</v>
      </c>
      <c r="Q33" s="0" t="n">
        <v>5</v>
      </c>
      <c r="R33" s="0" t="n">
        <v>4</v>
      </c>
      <c r="S33" s="0" t="n">
        <v>5</v>
      </c>
      <c r="T33" s="0" t="n">
        <v>5</v>
      </c>
      <c r="U33" s="0" t="n">
        <v>5</v>
      </c>
      <c r="V33" s="0" t="n">
        <v>5</v>
      </c>
      <c r="W33" s="0" t="n">
        <v>4</v>
      </c>
      <c r="X33" s="0" t="n">
        <v>3</v>
      </c>
      <c r="Y33" s="0" t="n">
        <v>4</v>
      </c>
      <c r="Z33" s="0" t="n">
        <v>5</v>
      </c>
      <c r="AA33" s="0" t="n">
        <v>5</v>
      </c>
      <c r="AB33" s="0" t="n">
        <v>5</v>
      </c>
      <c r="AC33" s="0" t="n">
        <v>5</v>
      </c>
      <c r="AD33" s="0" t="n">
        <v>5</v>
      </c>
      <c r="AE33" s="0" t="n">
        <v>4</v>
      </c>
      <c r="AF33" s="0" t="n">
        <v>3</v>
      </c>
      <c r="AG33" s="0" t="n">
        <v>5</v>
      </c>
      <c r="AI33" s="0" t="n">
        <f aca="false">5+AVERAGE(B33:AG33)-MOS!AI33</f>
        <v>5</v>
      </c>
      <c r="AJ33" s="0" t="n">
        <f aca="false">AVERAGE(B33:AG33)</f>
        <v>4.28125</v>
      </c>
    </row>
    <row r="34" customFormat="false" ht="15" hidden="false" customHeight="false" outlineLevel="0" collapsed="false">
      <c r="A34" s="0" t="s">
        <v>138</v>
      </c>
      <c r="B34" s="0" t="n">
        <v>5</v>
      </c>
      <c r="C34" s="0" t="n">
        <v>3</v>
      </c>
      <c r="D34" s="0" t="n">
        <v>3</v>
      </c>
      <c r="E34" s="0" t="n">
        <v>3</v>
      </c>
      <c r="F34" s="0" t="n">
        <v>5</v>
      </c>
      <c r="G34" s="0" t="n">
        <v>4</v>
      </c>
      <c r="H34" s="0" t="n">
        <v>4</v>
      </c>
      <c r="I34" s="0" t="n">
        <v>4</v>
      </c>
      <c r="J34" s="0" t="n">
        <v>5</v>
      </c>
      <c r="K34" s="0" t="n">
        <v>2</v>
      </c>
      <c r="L34" s="0" t="n">
        <v>4</v>
      </c>
      <c r="M34" s="0" t="n">
        <v>4</v>
      </c>
      <c r="N34" s="0" t="n">
        <v>3</v>
      </c>
      <c r="O34" s="0" t="n">
        <v>4</v>
      </c>
      <c r="P34" s="0" t="n">
        <v>4</v>
      </c>
      <c r="Q34" s="0" t="n">
        <v>5</v>
      </c>
      <c r="R34" s="0" t="n">
        <v>5</v>
      </c>
      <c r="S34" s="0" t="n">
        <v>4</v>
      </c>
      <c r="T34" s="0" t="n">
        <v>5</v>
      </c>
      <c r="U34" s="0" t="n">
        <v>4</v>
      </c>
      <c r="V34" s="0" t="n">
        <v>4</v>
      </c>
      <c r="W34" s="0" t="n">
        <v>4</v>
      </c>
      <c r="X34" s="0" t="n">
        <v>4</v>
      </c>
      <c r="Y34" s="0" t="n">
        <v>4</v>
      </c>
      <c r="Z34" s="0" t="n">
        <v>4</v>
      </c>
      <c r="AA34" s="0" t="n">
        <v>3</v>
      </c>
      <c r="AB34" s="0" t="n">
        <v>3</v>
      </c>
      <c r="AC34" s="0" t="n">
        <v>4</v>
      </c>
      <c r="AD34" s="0" t="n">
        <v>4</v>
      </c>
      <c r="AE34" s="0" t="n">
        <v>4</v>
      </c>
      <c r="AF34" s="0" t="n">
        <v>3</v>
      </c>
      <c r="AG34" s="0" t="n">
        <v>4</v>
      </c>
      <c r="AI34" s="0" t="n">
        <f aca="false">5+AVERAGE(B34:AG34)-MOS!AI31</f>
        <v>4.9375</v>
      </c>
      <c r="AJ34" s="0" t="n">
        <f aca="false">AVERAGE(B34:AG34)</f>
        <v>3.90625</v>
      </c>
    </row>
    <row r="35" customFormat="false" ht="15" hidden="false" customHeight="false" outlineLevel="0" collapsed="false">
      <c r="A35" s="0" t="s">
        <v>139</v>
      </c>
      <c r="B35" s="0" t="n">
        <v>1</v>
      </c>
      <c r="C35" s="0" t="n">
        <v>4</v>
      </c>
      <c r="D35" s="0" t="n">
        <v>4</v>
      </c>
      <c r="E35" s="0" t="n">
        <v>2</v>
      </c>
      <c r="F35" s="0" t="n">
        <v>3</v>
      </c>
      <c r="G35" s="0" t="n">
        <v>4</v>
      </c>
      <c r="H35" s="0" t="n">
        <v>3</v>
      </c>
      <c r="I35" s="0" t="n">
        <v>3</v>
      </c>
      <c r="J35" s="0" t="n">
        <v>4</v>
      </c>
      <c r="K35" s="0" t="n">
        <v>1</v>
      </c>
      <c r="L35" s="0" t="n">
        <v>3</v>
      </c>
      <c r="M35" s="0" t="n">
        <v>4</v>
      </c>
      <c r="N35" s="0" t="n">
        <v>3</v>
      </c>
      <c r="O35" s="0" t="n">
        <v>3</v>
      </c>
      <c r="P35" s="0" t="n">
        <v>2</v>
      </c>
      <c r="Q35" s="0" t="n">
        <v>3</v>
      </c>
      <c r="R35" s="0" t="n">
        <v>4</v>
      </c>
      <c r="S35" s="0" t="n">
        <v>3</v>
      </c>
      <c r="T35" s="0" t="n">
        <v>4</v>
      </c>
      <c r="U35" s="0" t="n">
        <v>3</v>
      </c>
      <c r="V35" s="0" t="n">
        <v>4</v>
      </c>
      <c r="W35" s="0" t="n">
        <v>3</v>
      </c>
      <c r="X35" s="0" t="n">
        <v>3</v>
      </c>
      <c r="Y35" s="0" t="n">
        <v>3</v>
      </c>
      <c r="Z35" s="0" t="n">
        <v>4</v>
      </c>
      <c r="AA35" s="0" t="n">
        <v>2</v>
      </c>
      <c r="AB35" s="0" t="n">
        <v>1</v>
      </c>
      <c r="AC35" s="0" t="n">
        <v>3</v>
      </c>
      <c r="AD35" s="0" t="n">
        <v>4</v>
      </c>
      <c r="AE35" s="0" t="n">
        <v>3</v>
      </c>
      <c r="AF35" s="0" t="n">
        <v>2</v>
      </c>
      <c r="AG35" s="0" t="n">
        <v>3</v>
      </c>
      <c r="AI35" s="0" t="n">
        <f aca="false">5+AVERAGE(B35:AG35)-MOS!AI31</f>
        <v>4.03125</v>
      </c>
      <c r="AJ35" s="0" t="n">
        <f aca="false">AVERAGE(B35:AG35)</f>
        <v>3</v>
      </c>
    </row>
    <row r="36" customFormat="false" ht="15" hidden="false" customHeight="false" outlineLevel="0" collapsed="false">
      <c r="A36" s="0" t="s">
        <v>140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I36" s="0" t="n">
        <f aca="false">5+AVERAGE(B36:AG36)-MOS!AI31</f>
        <v>2.09375</v>
      </c>
      <c r="AJ36" s="0" t="n">
        <f aca="false">AVERAGE(B36:AG36)</f>
        <v>1.0625</v>
      </c>
    </row>
    <row r="37" customFormat="false" ht="15" hidden="false" customHeight="false" outlineLevel="0" collapsed="false">
      <c r="A37" s="0" t="s">
        <v>141</v>
      </c>
      <c r="B37" s="0" t="n">
        <v>1</v>
      </c>
      <c r="C37" s="0" t="n">
        <v>1</v>
      </c>
      <c r="D37" s="0" t="n">
        <v>2</v>
      </c>
      <c r="E37" s="0" t="n">
        <v>2</v>
      </c>
      <c r="F37" s="0" t="n">
        <v>3</v>
      </c>
      <c r="G37" s="0" t="n">
        <v>1</v>
      </c>
      <c r="H37" s="0" t="n">
        <v>1</v>
      </c>
      <c r="I37" s="0" t="n">
        <v>3</v>
      </c>
      <c r="J37" s="0" t="n">
        <v>2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2</v>
      </c>
      <c r="R37" s="0" t="n">
        <v>3</v>
      </c>
      <c r="S37" s="0" t="n">
        <v>1</v>
      </c>
      <c r="T37" s="0" t="n">
        <v>2</v>
      </c>
      <c r="U37" s="0" t="n">
        <v>2</v>
      </c>
      <c r="V37" s="0" t="n">
        <v>2</v>
      </c>
      <c r="W37" s="0" t="n">
        <v>2</v>
      </c>
      <c r="X37" s="0" t="n">
        <v>3</v>
      </c>
      <c r="Y37" s="0" t="n">
        <v>3</v>
      </c>
      <c r="Z37" s="0" t="n">
        <v>2</v>
      </c>
      <c r="AA37" s="0" t="n">
        <v>2</v>
      </c>
      <c r="AB37" s="0" t="n">
        <v>1</v>
      </c>
      <c r="AC37" s="0" t="n">
        <v>2</v>
      </c>
      <c r="AD37" s="0" t="n">
        <v>2</v>
      </c>
      <c r="AE37" s="0" t="n">
        <v>1</v>
      </c>
      <c r="AF37" s="0" t="n">
        <v>1</v>
      </c>
      <c r="AG37" s="0" t="n">
        <v>2</v>
      </c>
      <c r="AI37" s="0" t="n">
        <f aca="false">5+AVERAGE(B37:AG37)-MOS!AI67</f>
        <v>2.84375</v>
      </c>
      <c r="AJ37" s="0" t="n">
        <f aca="false">AVERAGE(B37:AG37)</f>
        <v>1.84375</v>
      </c>
    </row>
    <row r="38" customFormat="false" ht="15" hidden="false" customHeight="false" outlineLevel="0" collapsed="false">
      <c r="A38" s="0" t="s">
        <v>142</v>
      </c>
      <c r="B38" s="0" t="n">
        <v>2</v>
      </c>
      <c r="C38" s="0" t="n">
        <v>1</v>
      </c>
      <c r="D38" s="0" t="n">
        <v>2</v>
      </c>
      <c r="E38" s="0" t="n">
        <v>3</v>
      </c>
      <c r="F38" s="0" t="n">
        <v>3</v>
      </c>
      <c r="G38" s="0" t="n">
        <v>2</v>
      </c>
      <c r="H38" s="0" t="n">
        <v>1</v>
      </c>
      <c r="I38" s="0" t="n">
        <v>3</v>
      </c>
      <c r="J38" s="0" t="n">
        <v>1</v>
      </c>
      <c r="K38" s="0" t="n">
        <v>1</v>
      </c>
      <c r="L38" s="0" t="n">
        <v>2</v>
      </c>
      <c r="M38" s="0" t="n">
        <v>1</v>
      </c>
      <c r="N38" s="0" t="n">
        <v>2</v>
      </c>
      <c r="O38" s="0" t="n">
        <v>2</v>
      </c>
      <c r="P38" s="0" t="n">
        <v>2</v>
      </c>
      <c r="Q38" s="0" t="n">
        <v>1</v>
      </c>
      <c r="R38" s="0" t="n">
        <v>4</v>
      </c>
      <c r="S38" s="0" t="n">
        <v>1</v>
      </c>
      <c r="T38" s="0" t="n">
        <v>3</v>
      </c>
      <c r="U38" s="0" t="n">
        <v>1</v>
      </c>
      <c r="V38" s="0" t="n">
        <v>2</v>
      </c>
      <c r="W38" s="0" t="n">
        <v>2</v>
      </c>
      <c r="X38" s="0" t="n">
        <v>2</v>
      </c>
      <c r="Y38" s="0" t="n">
        <v>1</v>
      </c>
      <c r="Z38" s="0" t="n">
        <v>2</v>
      </c>
      <c r="AA38" s="0" t="n">
        <v>2</v>
      </c>
      <c r="AB38" s="0" t="n">
        <v>2</v>
      </c>
      <c r="AC38" s="0" t="n">
        <v>3</v>
      </c>
      <c r="AD38" s="0" t="n">
        <v>3</v>
      </c>
      <c r="AE38" s="0" t="n">
        <v>2</v>
      </c>
      <c r="AF38" s="0" t="n">
        <v>1</v>
      </c>
      <c r="AG38" s="0" t="n">
        <v>2</v>
      </c>
      <c r="AI38" s="0" t="n">
        <f aca="false">5+AVERAGE(B38:AG38)-MOS!AI65</f>
        <v>3.03125</v>
      </c>
      <c r="AJ38" s="0" t="n">
        <f aca="false">AVERAGE(B38:AG38)</f>
        <v>1.9375</v>
      </c>
    </row>
    <row r="39" customFormat="false" ht="15" hidden="false" customHeight="false" outlineLevel="0" collapsed="false">
      <c r="A39" s="0" t="s">
        <v>143</v>
      </c>
      <c r="B39" s="0" t="n">
        <v>2</v>
      </c>
      <c r="C39" s="0" t="n">
        <v>3</v>
      </c>
      <c r="D39" s="0" t="n">
        <v>2</v>
      </c>
      <c r="E39" s="0" t="n">
        <v>3</v>
      </c>
      <c r="F39" s="0" t="n">
        <v>3</v>
      </c>
      <c r="G39" s="0" t="n">
        <v>3</v>
      </c>
      <c r="H39" s="0" t="n">
        <v>2</v>
      </c>
      <c r="I39" s="0" t="n">
        <v>4</v>
      </c>
      <c r="J39" s="0" t="n">
        <v>4</v>
      </c>
      <c r="K39" s="0" t="n">
        <v>2</v>
      </c>
      <c r="L39" s="0" t="n">
        <v>2</v>
      </c>
      <c r="M39" s="0" t="n">
        <v>4</v>
      </c>
      <c r="N39" s="0" t="n">
        <v>3</v>
      </c>
      <c r="O39" s="0" t="n">
        <v>3</v>
      </c>
      <c r="P39" s="0" t="n">
        <v>3</v>
      </c>
      <c r="Q39" s="0" t="n">
        <v>2</v>
      </c>
      <c r="R39" s="0" t="n">
        <v>4</v>
      </c>
      <c r="S39" s="0" t="n">
        <v>1</v>
      </c>
      <c r="T39" s="0" t="n">
        <v>4</v>
      </c>
      <c r="U39" s="0" t="n">
        <v>3</v>
      </c>
      <c r="V39" s="0" t="n">
        <v>3</v>
      </c>
      <c r="W39" s="0" t="n">
        <v>3</v>
      </c>
      <c r="X39" s="0" t="n">
        <v>3</v>
      </c>
      <c r="Y39" s="0" t="n">
        <v>3</v>
      </c>
      <c r="Z39" s="0" t="n">
        <v>4</v>
      </c>
      <c r="AA39" s="0" t="n">
        <v>2</v>
      </c>
      <c r="AB39" s="0" t="n">
        <v>3</v>
      </c>
      <c r="AC39" s="0" t="n">
        <v>3</v>
      </c>
      <c r="AD39" s="0" t="n">
        <v>3</v>
      </c>
      <c r="AE39" s="0" t="n">
        <v>3</v>
      </c>
      <c r="AF39" s="0" t="n">
        <v>2</v>
      </c>
      <c r="AG39" s="0" t="n">
        <v>4</v>
      </c>
      <c r="AI39" s="0" t="n">
        <f aca="false">5+AVERAGE(B39:AG39)-MOS!AI66</f>
        <v>3.65625</v>
      </c>
      <c r="AJ39" s="0" t="n">
        <f aca="false">AVERAGE(B39:AG39)</f>
        <v>2.90625</v>
      </c>
    </row>
    <row r="40" customFormat="false" ht="15" hidden="false" customHeight="false" outlineLevel="0" collapsed="false">
      <c r="A40" s="0" t="s">
        <v>144</v>
      </c>
      <c r="B40" s="0" t="n">
        <v>2</v>
      </c>
      <c r="C40" s="0" t="n">
        <v>3</v>
      </c>
      <c r="D40" s="0" t="n">
        <v>3</v>
      </c>
      <c r="E40" s="0" t="n">
        <v>3</v>
      </c>
      <c r="F40" s="0" t="n">
        <v>3</v>
      </c>
      <c r="G40" s="0" t="n">
        <v>2</v>
      </c>
      <c r="H40" s="0" t="n">
        <v>2</v>
      </c>
      <c r="I40" s="0" t="n">
        <v>4</v>
      </c>
      <c r="J40" s="0" t="n">
        <v>4</v>
      </c>
      <c r="K40" s="0" t="n">
        <v>1</v>
      </c>
      <c r="L40" s="0" t="n">
        <v>2</v>
      </c>
      <c r="M40" s="0" t="n">
        <v>4</v>
      </c>
      <c r="N40" s="0" t="n">
        <v>3</v>
      </c>
      <c r="O40" s="0" t="n">
        <v>3</v>
      </c>
      <c r="P40" s="0" t="n">
        <v>4</v>
      </c>
      <c r="Q40" s="0" t="n">
        <v>3</v>
      </c>
      <c r="R40" s="0" t="n">
        <v>4</v>
      </c>
      <c r="S40" s="0" t="n">
        <v>2</v>
      </c>
      <c r="T40" s="0" t="n">
        <v>4</v>
      </c>
      <c r="U40" s="0" t="n">
        <v>3</v>
      </c>
      <c r="V40" s="0" t="n">
        <v>3</v>
      </c>
      <c r="W40" s="0" t="n">
        <v>3</v>
      </c>
      <c r="X40" s="0" t="n">
        <v>3</v>
      </c>
      <c r="Y40" s="0" t="n">
        <v>4</v>
      </c>
      <c r="Z40" s="0" t="n">
        <v>2</v>
      </c>
      <c r="AA40" s="0" t="n">
        <v>2</v>
      </c>
      <c r="AB40" s="0" t="n">
        <v>2</v>
      </c>
      <c r="AC40" s="0" t="n">
        <v>2</v>
      </c>
      <c r="AD40" s="0" t="n">
        <v>3</v>
      </c>
      <c r="AE40" s="0" t="n">
        <v>2</v>
      </c>
      <c r="AF40" s="0" t="n">
        <v>2</v>
      </c>
      <c r="AG40" s="0" t="n">
        <v>2</v>
      </c>
      <c r="AI40" s="0" t="n">
        <f aca="false">5+AVERAGE(B40:AG40)-MOS!AI66</f>
        <v>3.53125</v>
      </c>
      <c r="AJ40" s="0" t="n">
        <f aca="false">AVERAGE(B40:AG40)</f>
        <v>2.78125</v>
      </c>
    </row>
    <row r="41" customFormat="false" ht="15" hidden="false" customHeight="false" outlineLevel="0" collapsed="false">
      <c r="A41" s="0" t="s">
        <v>145</v>
      </c>
      <c r="B41" s="0" t="n">
        <v>1</v>
      </c>
      <c r="C41" s="0" t="n">
        <v>1</v>
      </c>
      <c r="D41" s="0" t="n">
        <v>1</v>
      </c>
      <c r="E41" s="0" t="n">
        <v>2</v>
      </c>
      <c r="F41" s="0" t="n">
        <v>2</v>
      </c>
      <c r="G41" s="0" t="n">
        <v>2</v>
      </c>
      <c r="H41" s="0" t="n">
        <v>1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2</v>
      </c>
      <c r="N41" s="0" t="n">
        <v>2</v>
      </c>
      <c r="O41" s="0" t="n">
        <v>2</v>
      </c>
      <c r="P41" s="0" t="n">
        <v>2</v>
      </c>
      <c r="Q41" s="0" t="n">
        <v>1</v>
      </c>
      <c r="R41" s="0" t="n">
        <v>3</v>
      </c>
      <c r="S41" s="0" t="n">
        <v>1</v>
      </c>
      <c r="T41" s="0" t="n">
        <v>3</v>
      </c>
      <c r="U41" s="0" t="n">
        <v>2</v>
      </c>
      <c r="V41" s="0" t="n">
        <v>3</v>
      </c>
      <c r="W41" s="0" t="n">
        <v>2</v>
      </c>
      <c r="X41" s="0" t="n">
        <v>2</v>
      </c>
      <c r="Y41" s="0" t="n">
        <v>3</v>
      </c>
      <c r="Z41" s="0" t="n">
        <v>2</v>
      </c>
      <c r="AA41" s="0" t="n">
        <v>3</v>
      </c>
      <c r="AB41" s="0" t="n">
        <v>2</v>
      </c>
      <c r="AC41" s="0" t="n">
        <v>2</v>
      </c>
      <c r="AD41" s="0" t="n">
        <v>2</v>
      </c>
      <c r="AE41" s="0" t="n">
        <v>2</v>
      </c>
      <c r="AF41" s="0" t="n">
        <v>1</v>
      </c>
      <c r="AG41" s="0" t="n">
        <v>2</v>
      </c>
      <c r="AI41" s="0" t="n">
        <f aca="false">5+AVERAGE(B41:AG41)-MOS!AI67</f>
        <v>2.875</v>
      </c>
      <c r="AJ41" s="0" t="n">
        <f aca="false">AVERAGE(B41:AG41)</f>
        <v>1.875</v>
      </c>
    </row>
    <row r="42" customFormat="false" ht="15" hidden="false" customHeight="false" outlineLevel="0" collapsed="false">
      <c r="A42" s="0" t="s">
        <v>146</v>
      </c>
      <c r="B42" s="0" t="n">
        <v>2</v>
      </c>
      <c r="C42" s="0" t="n">
        <v>1</v>
      </c>
      <c r="D42" s="0" t="n">
        <v>3</v>
      </c>
      <c r="E42" s="0" t="n">
        <v>1</v>
      </c>
      <c r="F42" s="0" t="n">
        <v>2</v>
      </c>
      <c r="G42" s="0" t="n">
        <v>2</v>
      </c>
      <c r="H42" s="0" t="n">
        <v>2</v>
      </c>
      <c r="I42" s="0" t="n">
        <v>2</v>
      </c>
      <c r="J42" s="0" t="n">
        <v>3</v>
      </c>
      <c r="K42" s="0" t="n">
        <v>1</v>
      </c>
      <c r="L42" s="0" t="n">
        <v>1</v>
      </c>
      <c r="M42" s="0" t="n">
        <v>2</v>
      </c>
      <c r="N42" s="0" t="n">
        <v>2</v>
      </c>
      <c r="O42" s="0" t="n">
        <v>2</v>
      </c>
      <c r="P42" s="0" t="n">
        <v>2</v>
      </c>
      <c r="Q42" s="0" t="n">
        <v>2</v>
      </c>
      <c r="R42" s="0" t="n">
        <v>4</v>
      </c>
      <c r="S42" s="0" t="n">
        <v>1</v>
      </c>
      <c r="T42" s="0" t="n">
        <v>3</v>
      </c>
      <c r="U42" s="0" t="n">
        <v>2</v>
      </c>
      <c r="V42" s="0" t="n">
        <v>2</v>
      </c>
      <c r="W42" s="0" t="n">
        <v>2</v>
      </c>
      <c r="X42" s="0" t="n">
        <v>2</v>
      </c>
      <c r="Y42" s="0" t="n">
        <v>1</v>
      </c>
      <c r="Z42" s="0" t="n">
        <v>2</v>
      </c>
      <c r="AA42" s="0" t="n">
        <v>2</v>
      </c>
      <c r="AB42" s="0" t="n">
        <v>2</v>
      </c>
      <c r="AC42" s="0" t="n">
        <v>2</v>
      </c>
      <c r="AD42" s="0" t="n">
        <v>2</v>
      </c>
      <c r="AE42" s="0" t="n">
        <v>2</v>
      </c>
      <c r="AF42" s="0" t="n">
        <v>1</v>
      </c>
      <c r="AG42" s="0" t="n">
        <v>3</v>
      </c>
      <c r="AI42" s="0" t="n">
        <f aca="false">5+AVERAGE(B42:AG42)-MOS!AI65</f>
        <v>3.0625</v>
      </c>
      <c r="AJ42" s="0" t="n">
        <f aca="false">AVERAGE(B42:AG42)</f>
        <v>1.96875</v>
      </c>
    </row>
    <row r="43" customFormat="false" ht="15" hidden="false" customHeight="false" outlineLevel="0" collapsed="false">
      <c r="A43" s="0" t="s">
        <v>147</v>
      </c>
      <c r="B43" s="0" t="n">
        <v>2</v>
      </c>
      <c r="C43" s="0" t="n">
        <v>3</v>
      </c>
      <c r="D43" s="0" t="n">
        <v>3</v>
      </c>
      <c r="E43" s="0" t="n">
        <v>2</v>
      </c>
      <c r="F43" s="0" t="n">
        <v>3</v>
      </c>
      <c r="G43" s="0" t="n">
        <v>3</v>
      </c>
      <c r="H43" s="0" t="n">
        <v>2</v>
      </c>
      <c r="I43" s="0" t="n">
        <v>4</v>
      </c>
      <c r="J43" s="0" t="n">
        <v>3</v>
      </c>
      <c r="K43" s="0" t="n">
        <v>1</v>
      </c>
      <c r="L43" s="0" t="n">
        <v>3</v>
      </c>
      <c r="M43" s="0" t="n">
        <v>3</v>
      </c>
      <c r="N43" s="0" t="n">
        <v>3</v>
      </c>
      <c r="O43" s="0" t="n">
        <v>3</v>
      </c>
      <c r="P43" s="0" t="n">
        <v>3</v>
      </c>
      <c r="Q43" s="0" t="n">
        <v>3</v>
      </c>
      <c r="R43" s="0" t="n">
        <v>4</v>
      </c>
      <c r="S43" s="0" t="n">
        <v>3</v>
      </c>
      <c r="T43" s="0" t="n">
        <v>3</v>
      </c>
      <c r="U43" s="0" t="n">
        <v>2</v>
      </c>
      <c r="V43" s="0" t="n">
        <v>3</v>
      </c>
      <c r="W43" s="0" t="n">
        <v>2</v>
      </c>
      <c r="X43" s="0" t="n">
        <v>3</v>
      </c>
      <c r="Y43" s="0" t="n">
        <v>3</v>
      </c>
      <c r="Z43" s="0" t="n">
        <v>3</v>
      </c>
      <c r="AA43" s="0" t="n">
        <v>2</v>
      </c>
      <c r="AB43" s="0" t="n">
        <v>2</v>
      </c>
      <c r="AC43" s="0" t="n">
        <v>4</v>
      </c>
      <c r="AD43" s="0" t="n">
        <v>3</v>
      </c>
      <c r="AE43" s="0" t="n">
        <v>2</v>
      </c>
      <c r="AF43" s="0" t="n">
        <v>2</v>
      </c>
      <c r="AG43" s="0" t="n">
        <v>3</v>
      </c>
      <c r="AI43" s="0" t="n">
        <f aca="false">5+AVERAGE(B43:AG43)-MOS!AI66</f>
        <v>3.5</v>
      </c>
      <c r="AJ43" s="0" t="n">
        <f aca="false">AVERAGE(B43:AG43)</f>
        <v>2.75</v>
      </c>
    </row>
    <row r="44" customFormat="false" ht="15" hidden="false" customHeight="false" outlineLevel="0" collapsed="false">
      <c r="A44" s="0" t="s">
        <v>148</v>
      </c>
      <c r="B44" s="0" t="n">
        <v>2</v>
      </c>
      <c r="C44" s="0" t="n">
        <v>4</v>
      </c>
      <c r="D44" s="0" t="n">
        <v>2</v>
      </c>
      <c r="E44" s="0" t="n">
        <v>3</v>
      </c>
      <c r="F44" s="0" t="n">
        <v>3</v>
      </c>
      <c r="G44" s="0" t="n">
        <v>2</v>
      </c>
      <c r="H44" s="0" t="n">
        <v>2</v>
      </c>
      <c r="I44" s="0" t="n">
        <v>4</v>
      </c>
      <c r="J44" s="0" t="n">
        <v>3</v>
      </c>
      <c r="K44" s="0" t="n">
        <v>1</v>
      </c>
      <c r="L44" s="0" t="n">
        <v>2</v>
      </c>
      <c r="M44" s="0" t="n">
        <v>2</v>
      </c>
      <c r="N44" s="0" t="n">
        <v>3</v>
      </c>
      <c r="O44" s="0" t="n">
        <v>3</v>
      </c>
      <c r="P44" s="0" t="n">
        <v>3</v>
      </c>
      <c r="Q44" s="0" t="n">
        <v>3</v>
      </c>
      <c r="R44" s="0" t="n">
        <v>4</v>
      </c>
      <c r="S44" s="0" t="n">
        <v>1</v>
      </c>
      <c r="T44" s="0" t="n">
        <v>4</v>
      </c>
      <c r="U44" s="0" t="n">
        <v>2</v>
      </c>
      <c r="V44" s="0" t="n">
        <v>3</v>
      </c>
      <c r="W44" s="0" t="n">
        <v>4</v>
      </c>
      <c r="X44" s="0" t="n">
        <v>2</v>
      </c>
      <c r="Y44" s="0" t="n">
        <v>3</v>
      </c>
      <c r="Z44" s="0" t="n">
        <v>3</v>
      </c>
      <c r="AA44" s="0" t="n">
        <v>4</v>
      </c>
      <c r="AB44" s="0" t="n">
        <v>2</v>
      </c>
      <c r="AC44" s="0" t="n">
        <v>3</v>
      </c>
      <c r="AD44" s="0" t="n">
        <v>3</v>
      </c>
      <c r="AE44" s="0" t="n">
        <v>2</v>
      </c>
      <c r="AF44" s="0" t="n">
        <v>2</v>
      </c>
      <c r="AG44" s="0" t="n">
        <v>3</v>
      </c>
      <c r="AI44" s="0" t="n">
        <f aca="false">5+AVERAGE(B44:AG44)-MOS!AI66</f>
        <v>3.46875</v>
      </c>
      <c r="AJ44" s="0" t="n">
        <f aca="false">AVERAGE(B44:AG44)</f>
        <v>2.71875</v>
      </c>
    </row>
    <row r="45" customFormat="false" ht="15" hidden="false" customHeight="false" outlineLevel="0" collapsed="false">
      <c r="A45" s="0" t="s">
        <v>149</v>
      </c>
      <c r="B45" s="0" t="n">
        <v>1</v>
      </c>
      <c r="C45" s="0" t="n">
        <v>1</v>
      </c>
      <c r="D45" s="0" t="n">
        <v>1</v>
      </c>
      <c r="E45" s="0" t="n">
        <v>2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3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2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2</v>
      </c>
      <c r="Z45" s="0" t="n">
        <v>2</v>
      </c>
      <c r="AA45" s="0" t="n">
        <v>1</v>
      </c>
      <c r="AB45" s="0" t="n">
        <v>1</v>
      </c>
      <c r="AC45" s="0" t="n">
        <v>2</v>
      </c>
      <c r="AD45" s="0" t="n">
        <v>1</v>
      </c>
      <c r="AE45" s="0" t="n">
        <v>1</v>
      </c>
      <c r="AF45" s="0" t="n">
        <v>1</v>
      </c>
      <c r="AG45" s="0" t="n">
        <v>2</v>
      </c>
      <c r="AI45" s="0" t="n">
        <f aca="false">5+AVERAGE(B45:AG45)-MOS!AI67</f>
        <v>2.28125</v>
      </c>
      <c r="AJ45" s="0" t="n">
        <f aca="false">AVERAGE(B45:AG45)</f>
        <v>1.28125</v>
      </c>
    </row>
    <row r="46" customFormat="false" ht="15" hidden="false" customHeight="false" outlineLevel="0" collapsed="false">
      <c r="A46" s="0" t="s">
        <v>150</v>
      </c>
      <c r="B46" s="0" t="n">
        <v>1</v>
      </c>
      <c r="C46" s="0" t="n">
        <v>1</v>
      </c>
      <c r="D46" s="0" t="n">
        <v>2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2</v>
      </c>
      <c r="Q46" s="0" t="n">
        <v>1</v>
      </c>
      <c r="R46" s="0" t="n">
        <v>2</v>
      </c>
      <c r="S46" s="0" t="n">
        <v>1</v>
      </c>
      <c r="T46" s="0" t="n">
        <v>2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2</v>
      </c>
      <c r="Z46" s="0" t="n">
        <v>2</v>
      </c>
      <c r="AA46" s="0" t="n">
        <v>2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I46" s="0" t="n">
        <f aca="false">5+AVERAGE(B46:AG46)-MOS!AI65</f>
        <v>2.34375</v>
      </c>
      <c r="AJ46" s="0" t="n">
        <f aca="false">AVERAGE(B46:AG46)</f>
        <v>1.25</v>
      </c>
    </row>
    <row r="47" customFormat="false" ht="15" hidden="false" customHeight="false" outlineLevel="0" collapsed="false">
      <c r="A47" s="0" t="s">
        <v>151</v>
      </c>
      <c r="B47" s="0" t="n">
        <v>1</v>
      </c>
      <c r="C47" s="0" t="n">
        <v>2</v>
      </c>
      <c r="D47" s="0" t="n">
        <v>1</v>
      </c>
      <c r="E47" s="0" t="n">
        <v>2</v>
      </c>
      <c r="F47" s="0" t="n">
        <v>1</v>
      </c>
      <c r="G47" s="0" t="n">
        <v>2</v>
      </c>
      <c r="H47" s="0" t="n">
        <v>1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3</v>
      </c>
      <c r="N47" s="0" t="n">
        <v>1</v>
      </c>
      <c r="O47" s="0" t="n">
        <v>2</v>
      </c>
      <c r="P47" s="0" t="n">
        <v>3</v>
      </c>
      <c r="Q47" s="0" t="n">
        <v>2</v>
      </c>
      <c r="R47" s="0" t="n">
        <v>2</v>
      </c>
      <c r="S47" s="0" t="n">
        <v>2</v>
      </c>
      <c r="T47" s="0" t="n">
        <v>1</v>
      </c>
      <c r="U47" s="0" t="n">
        <v>1</v>
      </c>
      <c r="V47" s="0" t="n">
        <v>2</v>
      </c>
      <c r="W47" s="0" t="n">
        <v>2</v>
      </c>
      <c r="X47" s="0" t="n">
        <v>1</v>
      </c>
      <c r="Y47" s="0" t="n">
        <v>1</v>
      </c>
      <c r="Z47" s="0" t="n">
        <v>2</v>
      </c>
      <c r="AA47" s="0" t="n">
        <v>2</v>
      </c>
      <c r="AB47" s="0" t="n">
        <v>1</v>
      </c>
      <c r="AC47" s="0" t="n">
        <v>2</v>
      </c>
      <c r="AD47" s="0" t="n">
        <v>2</v>
      </c>
      <c r="AE47" s="0" t="n">
        <v>2</v>
      </c>
      <c r="AF47" s="0" t="n">
        <v>2</v>
      </c>
      <c r="AG47" s="0" t="n">
        <v>2</v>
      </c>
      <c r="AI47" s="0" t="n">
        <f aca="false">5+AVERAGE(B47:AG47)-MOS!AI66</f>
        <v>2.4375</v>
      </c>
      <c r="AJ47" s="0" t="n">
        <f aca="false">AVERAGE(B47:AG47)</f>
        <v>1.6875</v>
      </c>
    </row>
    <row r="48" customFormat="false" ht="15" hidden="false" customHeight="false" outlineLevel="0" collapsed="false">
      <c r="A48" s="0" t="s">
        <v>152</v>
      </c>
      <c r="B48" s="0" t="n">
        <v>1</v>
      </c>
      <c r="C48" s="0" t="n">
        <v>2</v>
      </c>
      <c r="D48" s="0" t="n">
        <v>1</v>
      </c>
      <c r="E48" s="0" t="n">
        <v>2</v>
      </c>
      <c r="F48" s="0" t="n">
        <v>1</v>
      </c>
      <c r="G48" s="0" t="n">
        <v>2</v>
      </c>
      <c r="H48" s="0" t="n">
        <v>1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2</v>
      </c>
      <c r="N48" s="0" t="n">
        <v>3</v>
      </c>
      <c r="O48" s="0" t="n">
        <v>1</v>
      </c>
      <c r="P48" s="0" t="n">
        <v>2</v>
      </c>
      <c r="Q48" s="0" t="n">
        <v>1</v>
      </c>
      <c r="R48" s="0" t="n">
        <v>2</v>
      </c>
      <c r="S48" s="0" t="n">
        <v>1</v>
      </c>
      <c r="T48" s="0" t="n">
        <v>2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1</v>
      </c>
      <c r="AA48" s="0" t="n">
        <v>1</v>
      </c>
      <c r="AB48" s="0" t="n">
        <v>1</v>
      </c>
      <c r="AC48" s="0" t="n">
        <v>2</v>
      </c>
      <c r="AD48" s="0" t="n">
        <v>2</v>
      </c>
      <c r="AE48" s="0" t="n">
        <v>2</v>
      </c>
      <c r="AF48" s="0" t="n">
        <v>1</v>
      </c>
      <c r="AG48" s="0" t="n">
        <v>2</v>
      </c>
      <c r="AI48" s="0" t="n">
        <f aca="false">5+AVERAGE(B48:AG48)-MOS!AI66</f>
        <v>2.25</v>
      </c>
      <c r="AJ48" s="0" t="n">
        <f aca="false">AVERAGE(B48:AG48)</f>
        <v>1.5</v>
      </c>
    </row>
    <row r="49" customFormat="false" ht="15" hidden="false" customHeight="false" outlineLevel="0" collapsed="false">
      <c r="A49" s="0" t="s">
        <v>153</v>
      </c>
      <c r="B49" s="0" t="n">
        <v>2</v>
      </c>
      <c r="C49" s="0" t="n">
        <v>2</v>
      </c>
      <c r="D49" s="0" t="n">
        <v>2</v>
      </c>
      <c r="E49" s="0" t="n">
        <v>2</v>
      </c>
      <c r="F49" s="0" t="n">
        <v>2</v>
      </c>
      <c r="G49" s="0" t="n">
        <v>1</v>
      </c>
      <c r="H49" s="0" t="n">
        <v>1</v>
      </c>
      <c r="I49" s="0" t="n">
        <v>3</v>
      </c>
      <c r="J49" s="0" t="n">
        <v>2</v>
      </c>
      <c r="K49" s="0" t="n">
        <v>1</v>
      </c>
      <c r="L49" s="0" t="n">
        <v>2</v>
      </c>
      <c r="M49" s="0" t="n">
        <v>2</v>
      </c>
      <c r="N49" s="0" t="n">
        <v>2</v>
      </c>
      <c r="O49" s="0" t="n">
        <v>3</v>
      </c>
      <c r="P49" s="0" t="n">
        <v>2</v>
      </c>
      <c r="Q49" s="0" t="n">
        <v>2</v>
      </c>
      <c r="R49" s="0" t="n">
        <v>3</v>
      </c>
      <c r="S49" s="0" t="n">
        <v>1</v>
      </c>
      <c r="T49" s="0" t="n">
        <v>3</v>
      </c>
      <c r="U49" s="0" t="n">
        <v>2</v>
      </c>
      <c r="V49" s="0" t="n">
        <v>2</v>
      </c>
      <c r="W49" s="0" t="n">
        <v>1</v>
      </c>
      <c r="X49" s="0" t="n">
        <v>2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3</v>
      </c>
      <c r="AD49" s="0" t="n">
        <v>2</v>
      </c>
      <c r="AE49" s="0" t="n">
        <v>2</v>
      </c>
      <c r="AF49" s="0" t="n">
        <v>2</v>
      </c>
      <c r="AG49" s="0" t="n">
        <v>3</v>
      </c>
      <c r="AI49" s="0" t="n">
        <f aca="false">5+AVERAGE(B49:AG49)-MOS!AI67</f>
        <v>2.96875</v>
      </c>
      <c r="AJ49" s="0" t="n">
        <f aca="false">AVERAGE(B49:AG49)</f>
        <v>1.96875</v>
      </c>
    </row>
    <row r="50" customFormat="false" ht="15" hidden="false" customHeight="false" outlineLevel="0" collapsed="false">
      <c r="A50" s="0" t="s">
        <v>154</v>
      </c>
      <c r="B50" s="0" t="n">
        <v>2</v>
      </c>
      <c r="C50" s="0" t="n">
        <v>2</v>
      </c>
      <c r="D50" s="0" t="n">
        <v>1</v>
      </c>
      <c r="E50" s="0" t="n">
        <v>2</v>
      </c>
      <c r="F50" s="0" t="n">
        <v>2</v>
      </c>
      <c r="G50" s="0" t="n">
        <v>2</v>
      </c>
      <c r="H50" s="0" t="n">
        <v>2</v>
      </c>
      <c r="I50" s="0" t="n">
        <v>3</v>
      </c>
      <c r="J50" s="0" t="n">
        <v>2</v>
      </c>
      <c r="K50" s="0" t="n">
        <v>1</v>
      </c>
      <c r="L50" s="0" t="n">
        <v>1</v>
      </c>
      <c r="M50" s="0" t="n">
        <v>2</v>
      </c>
      <c r="N50" s="0" t="n">
        <v>2</v>
      </c>
      <c r="O50" s="0" t="n">
        <v>2</v>
      </c>
      <c r="P50" s="0" t="n">
        <v>3</v>
      </c>
      <c r="Q50" s="0" t="n">
        <v>1</v>
      </c>
      <c r="R50" s="0" t="n">
        <v>3</v>
      </c>
      <c r="S50" s="0" t="n">
        <v>1</v>
      </c>
      <c r="T50" s="0" t="n">
        <v>2</v>
      </c>
      <c r="U50" s="0" t="n">
        <v>2</v>
      </c>
      <c r="V50" s="0" t="n">
        <v>3</v>
      </c>
      <c r="W50" s="0" t="n">
        <v>1</v>
      </c>
      <c r="X50" s="0" t="n">
        <v>2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2</v>
      </c>
      <c r="AD50" s="0" t="n">
        <v>2</v>
      </c>
      <c r="AE50" s="0" t="n">
        <v>2</v>
      </c>
      <c r="AF50" s="0" t="n">
        <v>1</v>
      </c>
      <c r="AG50" s="0" t="n">
        <v>3</v>
      </c>
      <c r="AI50" s="0" t="n">
        <f aca="false">5+AVERAGE(B50:AG50)-MOS!AI65</f>
        <v>3</v>
      </c>
      <c r="AJ50" s="0" t="n">
        <f aca="false">AVERAGE(B50:AG50)</f>
        <v>1.90625</v>
      </c>
    </row>
    <row r="51" customFormat="false" ht="15" hidden="false" customHeight="false" outlineLevel="0" collapsed="false">
      <c r="A51" s="0" t="s">
        <v>155</v>
      </c>
      <c r="B51" s="0" t="n">
        <v>2</v>
      </c>
      <c r="C51" s="0" t="n">
        <v>2</v>
      </c>
      <c r="D51" s="0" t="n">
        <v>2</v>
      </c>
      <c r="E51" s="0" t="n">
        <v>3</v>
      </c>
      <c r="F51" s="0" t="n">
        <v>3</v>
      </c>
      <c r="G51" s="0" t="n">
        <v>2</v>
      </c>
      <c r="H51" s="0" t="n">
        <v>2</v>
      </c>
      <c r="I51" s="0" t="n">
        <v>4</v>
      </c>
      <c r="J51" s="0" t="n">
        <v>2</v>
      </c>
      <c r="K51" s="0" t="n">
        <v>1</v>
      </c>
      <c r="L51" s="0" t="n">
        <v>3</v>
      </c>
      <c r="M51" s="0" t="n">
        <v>3</v>
      </c>
      <c r="N51" s="0" t="n">
        <v>2</v>
      </c>
      <c r="O51" s="0" t="n">
        <v>2</v>
      </c>
      <c r="P51" s="0" t="n">
        <v>3</v>
      </c>
      <c r="Q51" s="0" t="n">
        <v>1</v>
      </c>
      <c r="R51" s="0" t="n">
        <v>3</v>
      </c>
      <c r="S51" s="0" t="n">
        <v>1</v>
      </c>
      <c r="T51" s="0" t="n">
        <v>2</v>
      </c>
      <c r="U51" s="0" t="n">
        <v>2</v>
      </c>
      <c r="V51" s="0" t="n">
        <v>3</v>
      </c>
      <c r="W51" s="0" t="n">
        <v>2</v>
      </c>
      <c r="X51" s="0" t="n">
        <v>3</v>
      </c>
      <c r="Y51" s="0" t="n">
        <v>1</v>
      </c>
      <c r="Z51" s="0" t="n">
        <v>2</v>
      </c>
      <c r="AA51" s="0" t="n">
        <v>3</v>
      </c>
      <c r="AB51" s="0" t="n">
        <v>2</v>
      </c>
      <c r="AC51" s="0" t="n">
        <v>3</v>
      </c>
      <c r="AD51" s="0" t="n">
        <v>3</v>
      </c>
      <c r="AE51" s="0" t="n">
        <v>3</v>
      </c>
      <c r="AF51" s="0" t="n">
        <v>2</v>
      </c>
      <c r="AG51" s="0" t="n">
        <v>3</v>
      </c>
      <c r="AI51" s="0" t="n">
        <f aca="false">5+AVERAGE(B51:AG51)-MOS!AI66</f>
        <v>3.09375</v>
      </c>
      <c r="AJ51" s="0" t="n">
        <f aca="false">AVERAGE(B51:AG51)</f>
        <v>2.34375</v>
      </c>
    </row>
    <row r="52" customFormat="false" ht="15" hidden="false" customHeight="false" outlineLevel="0" collapsed="false">
      <c r="A52" s="0" t="s">
        <v>156</v>
      </c>
      <c r="B52" s="0" t="n">
        <v>2</v>
      </c>
      <c r="C52" s="0" t="n">
        <v>2</v>
      </c>
      <c r="D52" s="0" t="n">
        <v>2</v>
      </c>
      <c r="E52" s="0" t="n">
        <v>2</v>
      </c>
      <c r="F52" s="0" t="n">
        <v>3</v>
      </c>
      <c r="G52" s="0" t="n">
        <v>3</v>
      </c>
      <c r="H52" s="0" t="n">
        <v>2</v>
      </c>
      <c r="I52" s="0" t="n">
        <v>3</v>
      </c>
      <c r="J52" s="0" t="n">
        <v>2</v>
      </c>
      <c r="K52" s="0" t="n">
        <v>2</v>
      </c>
      <c r="L52" s="0" t="n">
        <v>1</v>
      </c>
      <c r="M52" s="0" t="n">
        <v>3</v>
      </c>
      <c r="N52" s="0" t="n">
        <v>3</v>
      </c>
      <c r="O52" s="0" t="n">
        <v>2</v>
      </c>
      <c r="P52" s="0" t="n">
        <v>3</v>
      </c>
      <c r="Q52" s="0" t="n">
        <v>1</v>
      </c>
      <c r="R52" s="0" t="n">
        <v>3</v>
      </c>
      <c r="S52" s="0" t="n">
        <v>1</v>
      </c>
      <c r="T52" s="0" t="n">
        <v>4</v>
      </c>
      <c r="U52" s="0" t="n">
        <v>2</v>
      </c>
      <c r="V52" s="0" t="n">
        <v>3</v>
      </c>
      <c r="W52" s="0" t="n">
        <v>2</v>
      </c>
      <c r="X52" s="0" t="n">
        <v>3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2</v>
      </c>
      <c r="AD52" s="0" t="n">
        <v>3</v>
      </c>
      <c r="AE52" s="0" t="n">
        <v>2</v>
      </c>
      <c r="AF52" s="0" t="n">
        <v>2</v>
      </c>
      <c r="AG52" s="0" t="n">
        <v>3</v>
      </c>
      <c r="AI52" s="0" t="n">
        <f aca="false">5+AVERAGE(B52:AG52)-MOS!AI66</f>
        <v>3.03125</v>
      </c>
      <c r="AJ52" s="0" t="n">
        <f aca="false">AVERAGE(B52:AG52)</f>
        <v>2.28125</v>
      </c>
    </row>
    <row r="53" customFormat="false" ht="15" hidden="false" customHeight="false" outlineLevel="0" collapsed="false">
      <c r="A53" s="0" t="s">
        <v>157</v>
      </c>
      <c r="B53" s="0" t="n">
        <v>2</v>
      </c>
      <c r="C53" s="0" t="n">
        <v>2</v>
      </c>
      <c r="D53" s="0" t="n">
        <v>2</v>
      </c>
      <c r="E53" s="0" t="n">
        <v>2</v>
      </c>
      <c r="F53" s="0" t="n">
        <v>3</v>
      </c>
      <c r="G53" s="0" t="n">
        <v>2</v>
      </c>
      <c r="H53" s="0" t="n">
        <v>1</v>
      </c>
      <c r="I53" s="0" t="n">
        <v>3</v>
      </c>
      <c r="J53" s="0" t="n">
        <v>2</v>
      </c>
      <c r="K53" s="0" t="n">
        <v>1</v>
      </c>
      <c r="L53" s="0" t="n">
        <v>2</v>
      </c>
      <c r="M53" s="0" t="n">
        <v>2</v>
      </c>
      <c r="N53" s="0" t="n">
        <v>2</v>
      </c>
      <c r="O53" s="0" t="n">
        <v>2</v>
      </c>
      <c r="P53" s="0" t="n">
        <v>3</v>
      </c>
      <c r="Q53" s="0" t="n">
        <v>1</v>
      </c>
      <c r="R53" s="0" t="n">
        <v>3</v>
      </c>
      <c r="S53" s="0" t="n">
        <v>1</v>
      </c>
      <c r="T53" s="0" t="n">
        <v>2</v>
      </c>
      <c r="U53" s="0" t="n">
        <v>2</v>
      </c>
      <c r="V53" s="0" t="n">
        <v>2</v>
      </c>
      <c r="W53" s="0" t="n">
        <v>1</v>
      </c>
      <c r="X53" s="0" t="n">
        <v>2</v>
      </c>
      <c r="Y53" s="0" t="n">
        <v>1</v>
      </c>
      <c r="Z53" s="0" t="n">
        <v>2</v>
      </c>
      <c r="AA53" s="0" t="n">
        <v>2</v>
      </c>
      <c r="AB53" s="0" t="n">
        <v>1</v>
      </c>
      <c r="AC53" s="0" t="n">
        <v>2</v>
      </c>
      <c r="AD53" s="0" t="n">
        <v>3</v>
      </c>
      <c r="AE53" s="0" t="n">
        <v>2</v>
      </c>
      <c r="AF53" s="0" t="n">
        <v>1</v>
      </c>
      <c r="AG53" s="0" t="n">
        <v>2</v>
      </c>
      <c r="AI53" s="0" t="n">
        <f aca="false">5+AVERAGE(B53:AG53)-MOS!AI67</f>
        <v>2.90625</v>
      </c>
      <c r="AJ53" s="0" t="n">
        <f aca="false">AVERAGE(B53:AG53)</f>
        <v>1.90625</v>
      </c>
    </row>
    <row r="54" customFormat="false" ht="15" hidden="false" customHeight="false" outlineLevel="0" collapsed="false">
      <c r="A54" s="0" t="s">
        <v>158</v>
      </c>
      <c r="B54" s="0" t="n">
        <v>2</v>
      </c>
      <c r="C54" s="0" t="n">
        <v>1</v>
      </c>
      <c r="D54" s="0" t="n">
        <v>2</v>
      </c>
      <c r="E54" s="0" t="n">
        <v>2</v>
      </c>
      <c r="F54" s="0" t="n">
        <v>2</v>
      </c>
      <c r="G54" s="0" t="n">
        <v>2</v>
      </c>
      <c r="H54" s="0" t="n">
        <v>1</v>
      </c>
      <c r="I54" s="0" t="n">
        <v>3</v>
      </c>
      <c r="J54" s="0" t="n">
        <v>1</v>
      </c>
      <c r="K54" s="0" t="n">
        <v>2</v>
      </c>
      <c r="L54" s="0" t="n">
        <v>2</v>
      </c>
      <c r="M54" s="0" t="n">
        <v>2</v>
      </c>
      <c r="N54" s="0" t="n">
        <v>3</v>
      </c>
      <c r="O54" s="0" t="n">
        <v>2</v>
      </c>
      <c r="P54" s="0" t="n">
        <v>2</v>
      </c>
      <c r="Q54" s="0" t="n">
        <v>1</v>
      </c>
      <c r="R54" s="0" t="n">
        <v>3</v>
      </c>
      <c r="S54" s="0" t="n">
        <v>1</v>
      </c>
      <c r="T54" s="0" t="n">
        <v>2</v>
      </c>
      <c r="U54" s="0" t="n">
        <v>2</v>
      </c>
      <c r="V54" s="0" t="n">
        <v>3</v>
      </c>
      <c r="W54" s="0" t="n">
        <v>2</v>
      </c>
      <c r="X54" s="0" t="n">
        <v>2</v>
      </c>
      <c r="Y54" s="0" t="n">
        <v>1</v>
      </c>
      <c r="Z54" s="0" t="n">
        <v>2</v>
      </c>
      <c r="AA54" s="0" t="n">
        <v>2</v>
      </c>
      <c r="AB54" s="0" t="n">
        <v>2</v>
      </c>
      <c r="AC54" s="0" t="n">
        <v>2</v>
      </c>
      <c r="AD54" s="0" t="n">
        <v>2</v>
      </c>
      <c r="AE54" s="0" t="n">
        <v>2</v>
      </c>
      <c r="AF54" s="0" t="n">
        <v>1</v>
      </c>
      <c r="AG54" s="0" t="n">
        <v>2</v>
      </c>
      <c r="AI54" s="0" t="n">
        <f aca="false">5+AVERAGE(B54:AG54)-MOS!AI65</f>
        <v>3</v>
      </c>
      <c r="AJ54" s="0" t="n">
        <f aca="false">AVERAGE(B54:AG54)</f>
        <v>1.90625</v>
      </c>
    </row>
    <row r="55" customFormat="false" ht="15" hidden="false" customHeight="false" outlineLevel="0" collapsed="false">
      <c r="A55" s="0" t="s">
        <v>159</v>
      </c>
      <c r="B55" s="0" t="n">
        <v>1</v>
      </c>
      <c r="C55" s="0" t="n">
        <v>1</v>
      </c>
      <c r="D55" s="0" t="n">
        <v>2</v>
      </c>
      <c r="E55" s="0" t="n">
        <v>2</v>
      </c>
      <c r="F55" s="0" t="n">
        <v>2</v>
      </c>
      <c r="G55" s="0" t="n">
        <v>2</v>
      </c>
      <c r="H55" s="0" t="n">
        <v>2</v>
      </c>
      <c r="I55" s="0" t="n">
        <v>3</v>
      </c>
      <c r="J55" s="0" t="n">
        <v>2</v>
      </c>
      <c r="K55" s="0" t="n">
        <v>1</v>
      </c>
      <c r="L55" s="0" t="n">
        <v>2</v>
      </c>
      <c r="M55" s="0" t="n">
        <v>3</v>
      </c>
      <c r="N55" s="0" t="n">
        <v>3</v>
      </c>
      <c r="O55" s="0" t="n">
        <v>2</v>
      </c>
      <c r="P55" s="0" t="n">
        <v>3</v>
      </c>
      <c r="Q55" s="0" t="n">
        <v>2</v>
      </c>
      <c r="R55" s="0" t="n">
        <v>3</v>
      </c>
      <c r="S55" s="0" t="n">
        <v>2</v>
      </c>
      <c r="T55" s="0" t="n">
        <v>3</v>
      </c>
      <c r="U55" s="0" t="n">
        <v>2</v>
      </c>
      <c r="V55" s="0" t="n">
        <v>3</v>
      </c>
      <c r="W55" s="0" t="n">
        <v>1</v>
      </c>
      <c r="X55" s="0" t="n">
        <v>2</v>
      </c>
      <c r="Y55" s="0" t="n">
        <v>3</v>
      </c>
      <c r="Z55" s="0" t="n">
        <v>2</v>
      </c>
      <c r="AA55" s="0" t="n">
        <v>3</v>
      </c>
      <c r="AB55" s="0" t="n">
        <v>2</v>
      </c>
      <c r="AC55" s="0" t="n">
        <v>2</v>
      </c>
      <c r="AD55" s="0" t="n">
        <v>4</v>
      </c>
      <c r="AE55" s="0" t="n">
        <v>2</v>
      </c>
      <c r="AF55" s="0" t="n">
        <v>1</v>
      </c>
      <c r="AG55" s="0" t="n">
        <v>3</v>
      </c>
      <c r="AI55" s="0" t="n">
        <f aca="false">5+AVERAGE(B55:AG55)-MOS!AI66</f>
        <v>2.96875</v>
      </c>
      <c r="AJ55" s="0" t="n">
        <f aca="false">AVERAGE(B55:AG55)</f>
        <v>2.21875</v>
      </c>
    </row>
    <row r="56" customFormat="false" ht="15" hidden="false" customHeight="false" outlineLevel="0" collapsed="false">
      <c r="A56" s="0" t="s">
        <v>160</v>
      </c>
      <c r="B56" s="0" t="n">
        <v>1</v>
      </c>
      <c r="C56" s="0" t="n">
        <v>2</v>
      </c>
      <c r="D56" s="0" t="n">
        <v>2</v>
      </c>
      <c r="E56" s="0" t="n">
        <v>2</v>
      </c>
      <c r="F56" s="0" t="n">
        <v>3</v>
      </c>
      <c r="G56" s="0" t="n">
        <v>3</v>
      </c>
      <c r="H56" s="0" t="n">
        <v>2</v>
      </c>
      <c r="I56" s="0" t="n">
        <v>3</v>
      </c>
      <c r="J56" s="0" t="n">
        <v>2</v>
      </c>
      <c r="K56" s="0" t="n">
        <v>1</v>
      </c>
      <c r="L56" s="0" t="n">
        <v>2</v>
      </c>
      <c r="M56" s="0" t="n">
        <v>2</v>
      </c>
      <c r="N56" s="0" t="n">
        <v>3</v>
      </c>
      <c r="O56" s="0" t="n">
        <v>2</v>
      </c>
      <c r="P56" s="0" t="n">
        <v>2</v>
      </c>
      <c r="Q56" s="0" t="n">
        <v>1</v>
      </c>
      <c r="R56" s="0" t="n">
        <v>3</v>
      </c>
      <c r="S56" s="0" t="n">
        <v>2</v>
      </c>
      <c r="T56" s="0" t="n">
        <v>3</v>
      </c>
      <c r="U56" s="0" t="n">
        <v>2</v>
      </c>
      <c r="V56" s="0" t="n">
        <v>3</v>
      </c>
      <c r="W56" s="0" t="n">
        <v>1</v>
      </c>
      <c r="X56" s="0" t="n">
        <v>3</v>
      </c>
      <c r="Y56" s="0" t="n">
        <v>1</v>
      </c>
      <c r="Z56" s="0" t="n">
        <v>3</v>
      </c>
      <c r="AA56" s="0" t="n">
        <v>2</v>
      </c>
      <c r="AB56" s="0" t="n">
        <v>1</v>
      </c>
      <c r="AC56" s="0" t="n">
        <v>2</v>
      </c>
      <c r="AD56" s="0" t="n">
        <v>2</v>
      </c>
      <c r="AE56" s="0" t="n">
        <v>2</v>
      </c>
      <c r="AF56" s="0" t="n">
        <v>1</v>
      </c>
      <c r="AG56" s="0" t="n">
        <v>2</v>
      </c>
      <c r="AI56" s="0" t="n">
        <f aca="false">5+AVERAGE(B56:AG56)-MOS!AI66</f>
        <v>2.8125</v>
      </c>
      <c r="AJ56" s="0" t="n">
        <f aca="false">AVERAGE(B56:AG56)</f>
        <v>2.0625</v>
      </c>
    </row>
    <row r="57" customFormat="false" ht="15" hidden="false" customHeight="false" outlineLevel="0" collapsed="false">
      <c r="A57" s="0" t="s">
        <v>161</v>
      </c>
      <c r="B57" s="0" t="n">
        <v>2</v>
      </c>
      <c r="C57" s="0" t="n">
        <v>1</v>
      </c>
      <c r="D57" s="0" t="n">
        <v>2</v>
      </c>
      <c r="E57" s="0" t="n">
        <v>2</v>
      </c>
      <c r="F57" s="0" t="n">
        <v>2</v>
      </c>
      <c r="G57" s="0" t="n">
        <v>2</v>
      </c>
      <c r="H57" s="0" t="n">
        <v>1</v>
      </c>
      <c r="I57" s="0" t="n">
        <v>3</v>
      </c>
      <c r="J57" s="0" t="n">
        <v>2</v>
      </c>
      <c r="K57" s="0" t="n">
        <v>1</v>
      </c>
      <c r="L57" s="0" t="n">
        <v>1</v>
      </c>
      <c r="M57" s="0" t="n">
        <v>2</v>
      </c>
      <c r="N57" s="0" t="n">
        <v>2</v>
      </c>
      <c r="O57" s="0" t="n">
        <v>1</v>
      </c>
      <c r="P57" s="0" t="n">
        <v>2</v>
      </c>
      <c r="Q57" s="0" t="n">
        <v>2</v>
      </c>
      <c r="R57" s="0" t="n">
        <v>3</v>
      </c>
      <c r="S57" s="0" t="n">
        <v>2</v>
      </c>
      <c r="T57" s="0" t="n">
        <v>3</v>
      </c>
      <c r="U57" s="0" t="n">
        <v>2</v>
      </c>
      <c r="V57" s="0" t="n">
        <v>2</v>
      </c>
      <c r="W57" s="0" t="n">
        <v>1</v>
      </c>
      <c r="X57" s="0" t="n">
        <v>2</v>
      </c>
      <c r="Y57" s="0" t="n">
        <v>1</v>
      </c>
      <c r="Z57" s="0" t="n">
        <v>2</v>
      </c>
      <c r="AA57" s="0" t="n">
        <v>2</v>
      </c>
      <c r="AB57" s="0" t="n">
        <v>2</v>
      </c>
      <c r="AC57" s="0" t="n">
        <v>2</v>
      </c>
      <c r="AD57" s="0" t="n">
        <v>2</v>
      </c>
      <c r="AE57" s="0" t="n">
        <v>1</v>
      </c>
      <c r="AF57" s="0" t="n">
        <v>2</v>
      </c>
      <c r="AG57" s="0" t="n">
        <v>2</v>
      </c>
      <c r="AI57" s="0" t="n">
        <f aca="false">5+AVERAGE(B57:AG57)-MOS!AI67</f>
        <v>2.84375</v>
      </c>
      <c r="AJ57" s="0" t="n">
        <f aca="false">AVERAGE(B57:AG57)</f>
        <v>1.84375</v>
      </c>
    </row>
    <row r="58" customFormat="false" ht="15" hidden="false" customHeight="false" outlineLevel="0" collapsed="false">
      <c r="A58" s="0" t="s">
        <v>162</v>
      </c>
      <c r="B58" s="0" t="n">
        <v>2</v>
      </c>
      <c r="C58" s="0" t="n">
        <v>1</v>
      </c>
      <c r="D58" s="0" t="n">
        <v>1</v>
      </c>
      <c r="E58" s="0" t="n">
        <v>2</v>
      </c>
      <c r="F58" s="0" t="n">
        <v>2</v>
      </c>
      <c r="G58" s="0" t="n">
        <v>2</v>
      </c>
      <c r="H58" s="0" t="n">
        <v>1</v>
      </c>
      <c r="I58" s="0" t="n">
        <v>3</v>
      </c>
      <c r="J58" s="0" t="n">
        <v>1</v>
      </c>
      <c r="K58" s="0" t="n">
        <v>1</v>
      </c>
      <c r="L58" s="0" t="n">
        <v>2</v>
      </c>
      <c r="M58" s="0" t="n">
        <v>1</v>
      </c>
      <c r="N58" s="0" t="n">
        <v>2</v>
      </c>
      <c r="O58" s="0" t="n">
        <v>2</v>
      </c>
      <c r="P58" s="0" t="n">
        <v>3</v>
      </c>
      <c r="Q58" s="0" t="n">
        <v>2</v>
      </c>
      <c r="R58" s="0" t="n">
        <v>3</v>
      </c>
      <c r="S58" s="0" t="n">
        <v>1</v>
      </c>
      <c r="T58" s="0" t="n">
        <v>2</v>
      </c>
      <c r="U58" s="0" t="n">
        <v>2</v>
      </c>
      <c r="V58" s="0" t="n">
        <v>2</v>
      </c>
      <c r="W58" s="0" t="n">
        <v>1</v>
      </c>
      <c r="X58" s="0" t="n">
        <v>3</v>
      </c>
      <c r="Y58" s="0" t="n">
        <v>1</v>
      </c>
      <c r="Z58" s="0" t="n">
        <v>2</v>
      </c>
      <c r="AA58" s="0" t="n">
        <v>2</v>
      </c>
      <c r="AB58" s="0" t="n">
        <v>1</v>
      </c>
      <c r="AC58" s="0" t="n">
        <v>2</v>
      </c>
      <c r="AD58" s="0" t="n">
        <v>2</v>
      </c>
      <c r="AE58" s="0" t="n">
        <v>2</v>
      </c>
      <c r="AF58" s="0" t="n">
        <v>1</v>
      </c>
      <c r="AG58" s="0" t="n">
        <v>3</v>
      </c>
      <c r="AI58" s="0" t="n">
        <f aca="false">5+AVERAGE(B58:AG58)-MOS!AI65</f>
        <v>2.90625</v>
      </c>
      <c r="AJ58" s="0" t="n">
        <f aca="false">AVERAGE(B58:AG58)</f>
        <v>1.8125</v>
      </c>
    </row>
    <row r="59" customFormat="false" ht="15" hidden="false" customHeight="false" outlineLevel="0" collapsed="false">
      <c r="A59" s="0" t="s">
        <v>163</v>
      </c>
      <c r="B59" s="0" t="n">
        <v>2</v>
      </c>
      <c r="C59" s="0" t="n">
        <v>2</v>
      </c>
      <c r="D59" s="0" t="n">
        <v>2</v>
      </c>
      <c r="E59" s="0" t="n">
        <v>2</v>
      </c>
      <c r="F59" s="0" t="n">
        <v>3</v>
      </c>
      <c r="G59" s="0" t="n">
        <v>2</v>
      </c>
      <c r="H59" s="0" t="n">
        <v>1</v>
      </c>
      <c r="I59" s="0" t="n">
        <v>3</v>
      </c>
      <c r="J59" s="0" t="n">
        <v>3</v>
      </c>
      <c r="K59" s="0" t="n">
        <v>1</v>
      </c>
      <c r="L59" s="0" t="n">
        <v>2</v>
      </c>
      <c r="M59" s="0" t="n">
        <v>3</v>
      </c>
      <c r="N59" s="0" t="n">
        <v>2</v>
      </c>
      <c r="O59" s="0" t="n">
        <v>3</v>
      </c>
      <c r="P59" s="0" t="n">
        <v>3</v>
      </c>
      <c r="Q59" s="0" t="n">
        <v>2</v>
      </c>
      <c r="R59" s="0" t="n">
        <v>3</v>
      </c>
      <c r="S59" s="0" t="n">
        <v>1</v>
      </c>
      <c r="T59" s="0" t="n">
        <v>3</v>
      </c>
      <c r="U59" s="0" t="n">
        <v>2</v>
      </c>
      <c r="V59" s="0" t="n">
        <v>3</v>
      </c>
      <c r="W59" s="0" t="n">
        <v>2</v>
      </c>
      <c r="X59" s="0" t="n">
        <v>2</v>
      </c>
      <c r="Y59" s="0" t="n">
        <v>1</v>
      </c>
      <c r="Z59" s="0" t="n">
        <v>2</v>
      </c>
      <c r="AA59" s="0" t="n">
        <v>2</v>
      </c>
      <c r="AB59" s="0" t="n">
        <v>2</v>
      </c>
      <c r="AC59" s="0" t="n">
        <v>2</v>
      </c>
      <c r="AD59" s="0" t="n">
        <v>2</v>
      </c>
      <c r="AE59" s="0" t="n">
        <v>2</v>
      </c>
      <c r="AF59" s="0" t="n">
        <v>1</v>
      </c>
      <c r="AG59" s="0" t="n">
        <v>3</v>
      </c>
      <c r="AI59" s="0" t="n">
        <f aca="false">5+AVERAGE(B59:AG59)-MOS!AI66</f>
        <v>2.90625</v>
      </c>
      <c r="AJ59" s="0" t="n">
        <f aca="false">AVERAGE(B59:AG59)</f>
        <v>2.15625</v>
      </c>
    </row>
    <row r="60" customFormat="false" ht="15" hidden="false" customHeight="false" outlineLevel="0" collapsed="false">
      <c r="A60" s="0" t="s">
        <v>164</v>
      </c>
      <c r="B60" s="0" t="n">
        <v>2</v>
      </c>
      <c r="C60" s="0" t="n">
        <v>2</v>
      </c>
      <c r="D60" s="0" t="n">
        <v>2</v>
      </c>
      <c r="E60" s="0" t="n">
        <v>2</v>
      </c>
      <c r="F60" s="0" t="n">
        <v>3</v>
      </c>
      <c r="G60" s="0" t="n">
        <v>3</v>
      </c>
      <c r="H60" s="0" t="n">
        <v>2</v>
      </c>
      <c r="I60" s="0" t="n">
        <v>3</v>
      </c>
      <c r="J60" s="0" t="n">
        <v>2</v>
      </c>
      <c r="K60" s="0" t="n">
        <v>1</v>
      </c>
      <c r="L60" s="0" t="n">
        <v>3</v>
      </c>
      <c r="M60" s="0" t="n">
        <v>3</v>
      </c>
      <c r="N60" s="0" t="n">
        <v>3</v>
      </c>
      <c r="O60" s="0" t="n">
        <v>3</v>
      </c>
      <c r="P60" s="0" t="n">
        <v>3</v>
      </c>
      <c r="Q60" s="0" t="n">
        <v>1</v>
      </c>
      <c r="R60" s="0" t="n">
        <v>3</v>
      </c>
      <c r="S60" s="0" t="n">
        <v>3</v>
      </c>
      <c r="T60" s="0" t="n">
        <v>3</v>
      </c>
      <c r="U60" s="0" t="n">
        <v>2</v>
      </c>
      <c r="V60" s="0" t="n">
        <v>3</v>
      </c>
      <c r="W60" s="0" t="n">
        <v>1</v>
      </c>
      <c r="X60" s="0" t="n">
        <v>3</v>
      </c>
      <c r="Y60" s="0" t="n">
        <v>1</v>
      </c>
      <c r="Z60" s="0" t="n">
        <v>2</v>
      </c>
      <c r="AA60" s="0" t="n">
        <v>2</v>
      </c>
      <c r="AB60" s="0" t="n">
        <v>3</v>
      </c>
      <c r="AC60" s="0" t="n">
        <v>2</v>
      </c>
      <c r="AD60" s="0" t="n">
        <v>3</v>
      </c>
      <c r="AE60" s="0" t="n">
        <v>2</v>
      </c>
      <c r="AF60" s="0" t="n">
        <v>1</v>
      </c>
      <c r="AG60" s="0" t="n">
        <v>2</v>
      </c>
      <c r="AI60" s="0" t="n">
        <f aca="false">5+AVERAGE(B60:AG60)-MOS!AI66</f>
        <v>3.0625</v>
      </c>
      <c r="AJ60" s="0" t="n">
        <f aca="false">AVERAGE(B60:AG60)</f>
        <v>2.3125</v>
      </c>
    </row>
    <row r="61" customFormat="false" ht="15" hidden="false" customHeight="false" outlineLevel="0" collapsed="false">
      <c r="A61" s="0" t="s">
        <v>165</v>
      </c>
      <c r="B61" s="0" t="n">
        <v>2</v>
      </c>
      <c r="C61" s="0" t="n">
        <v>2</v>
      </c>
      <c r="D61" s="0" t="n">
        <v>1</v>
      </c>
      <c r="E61" s="0" t="n">
        <v>2</v>
      </c>
      <c r="F61" s="0" t="n">
        <v>3</v>
      </c>
      <c r="G61" s="0" t="n">
        <v>2</v>
      </c>
      <c r="H61" s="0" t="n">
        <v>1</v>
      </c>
      <c r="I61" s="0" t="n">
        <v>3</v>
      </c>
      <c r="J61" s="0" t="n">
        <v>2</v>
      </c>
      <c r="K61" s="0" t="n">
        <v>1</v>
      </c>
      <c r="L61" s="0" t="n">
        <v>1</v>
      </c>
      <c r="M61" s="0" t="n">
        <v>2</v>
      </c>
      <c r="N61" s="0" t="n">
        <v>2</v>
      </c>
      <c r="O61" s="0" t="n">
        <v>3</v>
      </c>
      <c r="P61" s="0" t="n">
        <v>2</v>
      </c>
      <c r="Q61" s="0" t="n">
        <v>1</v>
      </c>
      <c r="R61" s="0" t="n">
        <v>3</v>
      </c>
      <c r="S61" s="0" t="n">
        <v>1</v>
      </c>
      <c r="T61" s="0" t="n">
        <v>2</v>
      </c>
      <c r="U61" s="0" t="n">
        <v>2</v>
      </c>
      <c r="V61" s="0" t="n">
        <v>2</v>
      </c>
      <c r="W61" s="0" t="n">
        <v>2</v>
      </c>
      <c r="X61" s="0" t="n">
        <v>2</v>
      </c>
      <c r="Y61" s="0" t="n">
        <v>1</v>
      </c>
      <c r="Z61" s="0" t="n">
        <v>2</v>
      </c>
      <c r="AA61" s="0" t="n">
        <v>2</v>
      </c>
      <c r="AB61" s="0" t="n">
        <v>1</v>
      </c>
      <c r="AC61" s="0" t="n">
        <v>2</v>
      </c>
      <c r="AD61" s="0" t="n">
        <v>1</v>
      </c>
      <c r="AE61" s="0" t="n">
        <v>2</v>
      </c>
      <c r="AF61" s="0" t="n">
        <v>1</v>
      </c>
      <c r="AG61" s="0" t="n">
        <v>3</v>
      </c>
      <c r="AI61" s="0" t="n">
        <f aca="false">5+AVERAGE(B61:AG61)-MOS!AI67</f>
        <v>2.84375</v>
      </c>
      <c r="AJ61" s="0" t="n">
        <f aca="false">AVERAGE(B61:AG61)</f>
        <v>1.84375</v>
      </c>
    </row>
    <row r="62" customFormat="false" ht="15" hidden="false" customHeight="false" outlineLevel="0" collapsed="false">
      <c r="A62" s="0" t="s">
        <v>166</v>
      </c>
      <c r="B62" s="0" t="n">
        <v>2</v>
      </c>
      <c r="C62" s="0" t="n">
        <v>1</v>
      </c>
      <c r="D62" s="0" t="n">
        <v>1</v>
      </c>
      <c r="E62" s="0" t="n">
        <v>2</v>
      </c>
      <c r="F62" s="0" t="n">
        <v>3</v>
      </c>
      <c r="G62" s="0" t="n">
        <v>3</v>
      </c>
      <c r="H62" s="0" t="n">
        <v>2</v>
      </c>
      <c r="I62" s="0" t="n">
        <v>3</v>
      </c>
      <c r="J62" s="0" t="n">
        <v>1</v>
      </c>
      <c r="K62" s="0" t="n">
        <v>1</v>
      </c>
      <c r="L62" s="0" t="n">
        <v>2</v>
      </c>
      <c r="M62" s="0" t="n">
        <v>2</v>
      </c>
      <c r="N62" s="0" t="n">
        <v>3</v>
      </c>
      <c r="O62" s="0" t="n">
        <v>3</v>
      </c>
      <c r="P62" s="0" t="n">
        <v>2</v>
      </c>
      <c r="Q62" s="0" t="n">
        <v>1</v>
      </c>
      <c r="R62" s="0" t="n">
        <v>3</v>
      </c>
      <c r="S62" s="0" t="n">
        <v>1</v>
      </c>
      <c r="T62" s="0" t="n">
        <v>3</v>
      </c>
      <c r="U62" s="0" t="n">
        <v>2</v>
      </c>
      <c r="V62" s="0" t="n">
        <v>2</v>
      </c>
      <c r="W62" s="0" t="n">
        <v>2</v>
      </c>
      <c r="X62" s="0" t="n">
        <v>2</v>
      </c>
      <c r="Y62" s="0" t="n">
        <v>3</v>
      </c>
      <c r="Z62" s="0" t="n">
        <v>2</v>
      </c>
      <c r="AA62" s="0" t="n">
        <v>2</v>
      </c>
      <c r="AB62" s="0" t="n">
        <v>2</v>
      </c>
      <c r="AC62" s="0" t="n">
        <v>2</v>
      </c>
      <c r="AD62" s="0" t="n">
        <v>1</v>
      </c>
      <c r="AE62" s="0" t="n">
        <v>2</v>
      </c>
      <c r="AF62" s="0" t="n">
        <v>1</v>
      </c>
      <c r="AG62" s="0" t="n">
        <v>3</v>
      </c>
      <c r="AI62" s="0" t="n">
        <f aca="false">5+AVERAGE(B62:AG62)-MOS!AI65</f>
        <v>3.125</v>
      </c>
      <c r="AJ62" s="0" t="n">
        <f aca="false">AVERAGE(B62:AG62)</f>
        <v>2.03125</v>
      </c>
    </row>
    <row r="63" customFormat="false" ht="15" hidden="false" customHeight="false" outlineLevel="0" collapsed="false">
      <c r="A63" s="0" t="s">
        <v>167</v>
      </c>
      <c r="B63" s="0" t="n">
        <v>2</v>
      </c>
      <c r="C63" s="0" t="n">
        <v>2</v>
      </c>
      <c r="D63" s="0" t="n">
        <v>2</v>
      </c>
      <c r="E63" s="0" t="n">
        <v>2</v>
      </c>
      <c r="F63" s="0" t="n">
        <v>2</v>
      </c>
      <c r="G63" s="0" t="n">
        <v>2</v>
      </c>
      <c r="H63" s="0" t="n">
        <v>2</v>
      </c>
      <c r="I63" s="0" t="n">
        <v>3</v>
      </c>
      <c r="J63" s="0" t="n">
        <v>3</v>
      </c>
      <c r="K63" s="0" t="n">
        <v>1</v>
      </c>
      <c r="L63" s="0" t="n">
        <v>2</v>
      </c>
      <c r="M63" s="0" t="n">
        <v>3</v>
      </c>
      <c r="N63" s="0" t="n">
        <v>2</v>
      </c>
      <c r="O63" s="0" t="n">
        <v>2</v>
      </c>
      <c r="P63" s="0" t="n">
        <v>3</v>
      </c>
      <c r="Q63" s="0" t="n">
        <v>2</v>
      </c>
      <c r="R63" s="0" t="n">
        <v>3</v>
      </c>
      <c r="S63" s="0" t="n">
        <v>2</v>
      </c>
      <c r="T63" s="0" t="n">
        <v>2</v>
      </c>
      <c r="U63" s="0" t="n">
        <v>2</v>
      </c>
      <c r="V63" s="0" t="n">
        <v>3</v>
      </c>
      <c r="W63" s="0" t="n">
        <v>1</v>
      </c>
      <c r="X63" s="0" t="n">
        <v>2</v>
      </c>
      <c r="Y63" s="0" t="n">
        <v>1</v>
      </c>
      <c r="Z63" s="0" t="n">
        <v>2</v>
      </c>
      <c r="AA63" s="0" t="n">
        <v>3</v>
      </c>
      <c r="AB63" s="0" t="n">
        <v>2</v>
      </c>
      <c r="AC63" s="0" t="n">
        <v>3</v>
      </c>
      <c r="AD63" s="0" t="n">
        <v>2</v>
      </c>
      <c r="AE63" s="0" t="n">
        <v>2</v>
      </c>
      <c r="AF63" s="0" t="n">
        <v>1</v>
      </c>
      <c r="AG63" s="0" t="n">
        <v>3</v>
      </c>
      <c r="AI63" s="0" t="n">
        <f aca="false">5+AVERAGE(B63:AG63)-MOS!AI66</f>
        <v>2.90625</v>
      </c>
      <c r="AJ63" s="0" t="n">
        <f aca="false">AVERAGE(B63:AG63)</f>
        <v>2.15625</v>
      </c>
    </row>
    <row r="64" customFormat="false" ht="15" hidden="false" customHeight="false" outlineLevel="0" collapsed="false">
      <c r="A64" s="0" t="s">
        <v>168</v>
      </c>
      <c r="B64" s="0" t="n">
        <v>2</v>
      </c>
      <c r="C64" s="0" t="n">
        <v>2</v>
      </c>
      <c r="D64" s="0" t="n">
        <v>2</v>
      </c>
      <c r="E64" s="0" t="n">
        <v>2</v>
      </c>
      <c r="F64" s="0" t="n">
        <v>2</v>
      </c>
      <c r="G64" s="0" t="n">
        <v>3</v>
      </c>
      <c r="H64" s="0" t="n">
        <v>2</v>
      </c>
      <c r="I64" s="0" t="n">
        <v>3</v>
      </c>
      <c r="J64" s="0" t="n">
        <v>2</v>
      </c>
      <c r="K64" s="0" t="n">
        <v>1</v>
      </c>
      <c r="L64" s="0" t="n">
        <v>2</v>
      </c>
      <c r="M64" s="0" t="n">
        <v>2</v>
      </c>
      <c r="N64" s="0" t="n">
        <v>3</v>
      </c>
      <c r="O64" s="0" t="n">
        <v>2</v>
      </c>
      <c r="P64" s="0" t="n">
        <v>2</v>
      </c>
      <c r="Q64" s="0" t="n">
        <v>2</v>
      </c>
      <c r="R64" s="0" t="n">
        <v>3</v>
      </c>
      <c r="S64" s="0" t="n">
        <v>2</v>
      </c>
      <c r="T64" s="0" t="n">
        <v>3</v>
      </c>
      <c r="U64" s="0" t="n">
        <v>2</v>
      </c>
      <c r="V64" s="0" t="n">
        <v>2</v>
      </c>
      <c r="W64" s="0" t="n">
        <v>1</v>
      </c>
      <c r="X64" s="0" t="n">
        <v>2</v>
      </c>
      <c r="Y64" s="0" t="n">
        <v>1</v>
      </c>
      <c r="Z64" s="0" t="n">
        <v>2</v>
      </c>
      <c r="AA64" s="0" t="n">
        <v>2</v>
      </c>
      <c r="AB64" s="0" t="n">
        <v>2</v>
      </c>
      <c r="AC64" s="0" t="n">
        <v>2</v>
      </c>
      <c r="AD64" s="0" t="n">
        <v>3</v>
      </c>
      <c r="AE64" s="0" t="n">
        <v>3</v>
      </c>
      <c r="AF64" s="0" t="n">
        <v>1</v>
      </c>
      <c r="AG64" s="0" t="n">
        <v>2</v>
      </c>
      <c r="AI64" s="0" t="n">
        <f aca="false">5+AVERAGE(B64:AG64)-MOS!AI66</f>
        <v>2.84375</v>
      </c>
      <c r="AJ64" s="0" t="n">
        <f aca="false">AVERAGE(B64:AG64)</f>
        <v>2.09375</v>
      </c>
    </row>
    <row r="65" customFormat="false" ht="15" hidden="false" customHeight="false" outlineLevel="0" collapsed="false">
      <c r="A65" s="0" t="s">
        <v>169</v>
      </c>
      <c r="B65" s="0" t="n">
        <v>2</v>
      </c>
      <c r="C65" s="0" t="n">
        <v>5</v>
      </c>
      <c r="D65" s="0" t="n">
        <v>4</v>
      </c>
      <c r="E65" s="0" t="n">
        <v>4</v>
      </c>
      <c r="F65" s="0" t="n">
        <v>4</v>
      </c>
      <c r="G65" s="0" t="n">
        <v>3</v>
      </c>
      <c r="H65" s="0" t="n">
        <v>3</v>
      </c>
      <c r="I65" s="0" t="n">
        <v>5</v>
      </c>
      <c r="J65" s="0" t="n">
        <v>2</v>
      </c>
      <c r="K65" s="0" t="n">
        <v>2</v>
      </c>
      <c r="L65" s="0" t="n">
        <v>3</v>
      </c>
      <c r="M65" s="0" t="n">
        <v>5</v>
      </c>
      <c r="N65" s="0" t="n">
        <v>4</v>
      </c>
      <c r="O65" s="0" t="n">
        <v>5</v>
      </c>
      <c r="P65" s="0" t="n">
        <v>4</v>
      </c>
      <c r="Q65" s="0" t="n">
        <v>5</v>
      </c>
      <c r="R65" s="0" t="n">
        <v>5</v>
      </c>
      <c r="S65" s="0" t="n">
        <v>3</v>
      </c>
      <c r="T65" s="0" t="n">
        <v>4</v>
      </c>
      <c r="U65" s="0" t="n">
        <v>4</v>
      </c>
      <c r="V65" s="0" t="n">
        <v>5</v>
      </c>
      <c r="W65" s="0" t="n">
        <v>4</v>
      </c>
      <c r="X65" s="0" t="n">
        <v>4</v>
      </c>
      <c r="Y65" s="0" t="n">
        <v>5</v>
      </c>
      <c r="Z65" s="0" t="n">
        <v>5</v>
      </c>
      <c r="AA65" s="0" t="n">
        <v>3</v>
      </c>
      <c r="AB65" s="0" t="n">
        <v>5</v>
      </c>
      <c r="AC65" s="0" t="n">
        <v>4</v>
      </c>
      <c r="AD65" s="0" t="n">
        <v>5</v>
      </c>
      <c r="AE65" s="0" t="n">
        <v>3</v>
      </c>
      <c r="AF65" s="0" t="n">
        <v>2</v>
      </c>
      <c r="AG65" s="0" t="n">
        <v>4</v>
      </c>
      <c r="AI65" s="0" t="n">
        <f aca="false">5+AVERAGE(B65:AG65)-MOS!AI65</f>
        <v>5</v>
      </c>
      <c r="AJ65" s="0" t="n">
        <f aca="false">AVERAGE(B65:AG65)</f>
        <v>3.90625</v>
      </c>
    </row>
    <row r="66" customFormat="false" ht="15" hidden="false" customHeight="false" outlineLevel="0" collapsed="false">
      <c r="A66" s="0" t="s">
        <v>170</v>
      </c>
      <c r="B66" s="0" t="n">
        <v>2</v>
      </c>
      <c r="C66" s="0" t="n">
        <v>4</v>
      </c>
      <c r="D66" s="0" t="n">
        <v>4</v>
      </c>
      <c r="E66" s="0" t="n">
        <v>5</v>
      </c>
      <c r="F66" s="0" t="n">
        <v>4</v>
      </c>
      <c r="G66" s="0" t="n">
        <v>4</v>
      </c>
      <c r="H66" s="0" t="n">
        <v>4</v>
      </c>
      <c r="I66" s="0" t="n">
        <v>5</v>
      </c>
      <c r="J66" s="0" t="n">
        <v>5</v>
      </c>
      <c r="K66" s="0" t="n">
        <v>3</v>
      </c>
      <c r="L66" s="0" t="n">
        <v>4</v>
      </c>
      <c r="M66" s="0" t="n">
        <v>4</v>
      </c>
      <c r="N66" s="0" t="n">
        <v>4</v>
      </c>
      <c r="O66" s="0" t="n">
        <v>4</v>
      </c>
      <c r="P66" s="0" t="n">
        <v>4</v>
      </c>
      <c r="Q66" s="0" t="n">
        <v>5</v>
      </c>
      <c r="R66" s="0" t="n">
        <v>4</v>
      </c>
      <c r="S66" s="0" t="n">
        <v>5</v>
      </c>
      <c r="T66" s="0" t="n">
        <v>5</v>
      </c>
      <c r="U66" s="0" t="n">
        <v>4</v>
      </c>
      <c r="V66" s="0" t="n">
        <v>4</v>
      </c>
      <c r="W66" s="0" t="n">
        <v>5</v>
      </c>
      <c r="X66" s="0" t="n">
        <v>4</v>
      </c>
      <c r="Y66" s="0" t="n">
        <v>5</v>
      </c>
      <c r="Z66" s="0" t="n">
        <v>5</v>
      </c>
      <c r="AA66" s="0" t="n">
        <v>4</v>
      </c>
      <c r="AB66" s="0" t="n">
        <v>4</v>
      </c>
      <c r="AC66" s="0" t="n">
        <v>5</v>
      </c>
      <c r="AD66" s="0" t="n">
        <v>4</v>
      </c>
      <c r="AE66" s="0" t="n">
        <v>5</v>
      </c>
      <c r="AF66" s="0" t="n">
        <v>3</v>
      </c>
      <c r="AG66" s="0" t="n">
        <v>5</v>
      </c>
      <c r="AI66" s="0" t="n">
        <f aca="false">5+AVERAGE(B66:AG66)-MOS!AI66</f>
        <v>5</v>
      </c>
      <c r="AJ66" s="0" t="n">
        <f aca="false">AVERAGE(B66:AG66)</f>
        <v>4.25</v>
      </c>
    </row>
    <row r="67" customFormat="false" ht="15" hidden="false" customHeight="false" outlineLevel="0" collapsed="false">
      <c r="A67" s="0" t="s">
        <v>171</v>
      </c>
      <c r="B67" s="0" t="n">
        <v>3</v>
      </c>
      <c r="C67" s="0" t="n">
        <v>5</v>
      </c>
      <c r="D67" s="0" t="n">
        <v>4</v>
      </c>
      <c r="E67" s="0" t="n">
        <v>4</v>
      </c>
      <c r="F67" s="0" t="n">
        <v>5</v>
      </c>
      <c r="G67" s="0" t="n">
        <v>4</v>
      </c>
      <c r="H67" s="0" t="n">
        <v>4</v>
      </c>
      <c r="I67" s="0" t="n">
        <v>4</v>
      </c>
      <c r="J67" s="0" t="n">
        <v>4</v>
      </c>
      <c r="K67" s="0" t="n">
        <v>2</v>
      </c>
      <c r="L67" s="0" t="n">
        <v>3</v>
      </c>
      <c r="M67" s="0" t="n">
        <v>4</v>
      </c>
      <c r="N67" s="0" t="n">
        <v>4</v>
      </c>
      <c r="O67" s="0" t="n">
        <v>4</v>
      </c>
      <c r="P67" s="0" t="n">
        <v>4</v>
      </c>
      <c r="Q67" s="0" t="n">
        <v>5</v>
      </c>
      <c r="R67" s="0" t="n">
        <v>5</v>
      </c>
      <c r="S67" s="0" t="n">
        <v>4</v>
      </c>
      <c r="T67" s="0" t="n">
        <v>5</v>
      </c>
      <c r="U67" s="0" t="n">
        <v>3</v>
      </c>
      <c r="V67" s="0" t="n">
        <v>5</v>
      </c>
      <c r="W67" s="0" t="n">
        <v>4</v>
      </c>
      <c r="X67" s="0" t="n">
        <v>4</v>
      </c>
      <c r="Y67" s="0" t="n">
        <v>4</v>
      </c>
      <c r="Z67" s="0" t="n">
        <v>5</v>
      </c>
      <c r="AA67" s="0" t="n">
        <v>3</v>
      </c>
      <c r="AB67" s="0" t="n">
        <v>5</v>
      </c>
      <c r="AC67" s="0" t="n">
        <v>3</v>
      </c>
      <c r="AD67" s="0" t="n">
        <v>5</v>
      </c>
      <c r="AE67" s="0" t="n">
        <v>4</v>
      </c>
      <c r="AF67" s="0" t="n">
        <v>2</v>
      </c>
      <c r="AG67" s="0" t="n">
        <v>4</v>
      </c>
      <c r="AI67" s="0" t="n">
        <f aca="false">5+AVERAGE(B67:AG67)-MOS!AI67</f>
        <v>5</v>
      </c>
      <c r="AJ67" s="0" t="n">
        <f aca="false">AVERAGE(B67:AG67)</f>
        <v>4</v>
      </c>
    </row>
    <row r="68" customFormat="false" ht="15" hidden="false" customHeight="false" outlineLevel="0" collapsed="false">
      <c r="A68" s="0" t="s">
        <v>172</v>
      </c>
      <c r="B68" s="0" t="n">
        <v>1</v>
      </c>
      <c r="C68" s="0" t="n">
        <v>3</v>
      </c>
      <c r="D68" s="0" t="n">
        <v>5</v>
      </c>
      <c r="E68" s="0" t="n">
        <v>4</v>
      </c>
      <c r="F68" s="0" t="n">
        <v>3</v>
      </c>
      <c r="G68" s="0" t="n">
        <v>4</v>
      </c>
      <c r="H68" s="0" t="n">
        <v>3</v>
      </c>
      <c r="I68" s="0" t="n">
        <v>4</v>
      </c>
      <c r="J68" s="0" t="n">
        <v>1</v>
      </c>
      <c r="K68" s="0" t="n">
        <v>2</v>
      </c>
      <c r="L68" s="0" t="n">
        <v>3</v>
      </c>
      <c r="M68" s="0" t="n">
        <v>3</v>
      </c>
      <c r="N68" s="0" t="n">
        <v>3</v>
      </c>
      <c r="O68" s="0" t="n">
        <v>4</v>
      </c>
      <c r="P68" s="0" t="n">
        <v>4</v>
      </c>
      <c r="Q68" s="0" t="n">
        <v>4</v>
      </c>
      <c r="R68" s="0" t="n">
        <v>5</v>
      </c>
      <c r="S68" s="0" t="n">
        <v>3</v>
      </c>
      <c r="T68" s="0" t="n">
        <v>5</v>
      </c>
      <c r="U68" s="0" t="n">
        <v>3</v>
      </c>
      <c r="V68" s="0" t="n">
        <v>4</v>
      </c>
      <c r="W68" s="0" t="n">
        <v>4</v>
      </c>
      <c r="X68" s="0" t="n">
        <v>4</v>
      </c>
      <c r="Y68" s="0" t="n">
        <v>4</v>
      </c>
      <c r="Z68" s="0" t="n">
        <v>3</v>
      </c>
      <c r="AA68" s="0" t="n">
        <v>3</v>
      </c>
      <c r="AB68" s="0" t="n">
        <v>3</v>
      </c>
      <c r="AC68" s="0" t="n">
        <v>4</v>
      </c>
      <c r="AD68" s="0" t="n">
        <v>5</v>
      </c>
      <c r="AE68" s="0" t="n">
        <v>3</v>
      </c>
      <c r="AF68" s="0" t="n">
        <v>2</v>
      </c>
      <c r="AG68" s="0" t="n">
        <v>4</v>
      </c>
      <c r="AI68" s="0" t="n">
        <f aca="false">5+AVERAGE(B68:AG68)-MOS!AI65</f>
        <v>4.53125</v>
      </c>
      <c r="AJ68" s="0" t="n">
        <f aca="false">AVERAGE(B68:AG68)</f>
        <v>3.4375</v>
      </c>
    </row>
    <row r="69" customFormat="false" ht="15" hidden="false" customHeight="false" outlineLevel="0" collapsed="false">
      <c r="A69" s="0" t="s">
        <v>173</v>
      </c>
      <c r="B69" s="0" t="n">
        <v>1</v>
      </c>
      <c r="C69" s="0" t="n">
        <v>2</v>
      </c>
      <c r="D69" s="0" t="n">
        <v>3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2</v>
      </c>
      <c r="J69" s="0" t="n">
        <v>2</v>
      </c>
      <c r="K69" s="0" t="n">
        <v>1</v>
      </c>
      <c r="L69" s="0" t="n">
        <v>3</v>
      </c>
      <c r="M69" s="0" t="n">
        <v>3</v>
      </c>
      <c r="N69" s="0" t="n">
        <v>2</v>
      </c>
      <c r="O69" s="0" t="n">
        <v>3</v>
      </c>
      <c r="P69" s="0" t="n">
        <v>3</v>
      </c>
      <c r="Q69" s="0" t="n">
        <v>2</v>
      </c>
      <c r="R69" s="0" t="n">
        <v>3</v>
      </c>
      <c r="S69" s="0" t="n">
        <v>1</v>
      </c>
      <c r="T69" s="0" t="n">
        <v>2</v>
      </c>
      <c r="U69" s="0" t="n">
        <v>2</v>
      </c>
      <c r="V69" s="0" t="n">
        <v>3</v>
      </c>
      <c r="W69" s="0" t="n">
        <v>2</v>
      </c>
      <c r="X69" s="0" t="n">
        <v>3</v>
      </c>
      <c r="Y69" s="0" t="n">
        <v>3</v>
      </c>
      <c r="Z69" s="0" t="n">
        <v>5</v>
      </c>
      <c r="AA69" s="0" t="n">
        <v>1</v>
      </c>
      <c r="AB69" s="0" t="n">
        <v>2</v>
      </c>
      <c r="AC69" s="0" t="n">
        <v>3</v>
      </c>
      <c r="AD69" s="0" t="n">
        <v>4</v>
      </c>
      <c r="AE69" s="0" t="n">
        <v>2</v>
      </c>
      <c r="AF69" s="0" t="n">
        <v>1</v>
      </c>
      <c r="AG69" s="0" t="n">
        <v>3</v>
      </c>
      <c r="AI69" s="0" t="n">
        <f aca="false">5+AVERAGE(B69:AG69)-MOS!AI65</f>
        <v>3.375</v>
      </c>
      <c r="AJ69" s="0" t="n">
        <f aca="false">AVERAGE(B69:AG69)</f>
        <v>2.28125</v>
      </c>
    </row>
    <row r="70" customFormat="false" ht="15" hidden="false" customHeight="false" outlineLevel="0" collapsed="false">
      <c r="A70" s="0" t="s">
        <v>174</v>
      </c>
      <c r="B70" s="0" t="n">
        <v>1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1</v>
      </c>
      <c r="AE70" s="0" t="n">
        <v>1</v>
      </c>
      <c r="AF70" s="0" t="n">
        <v>1</v>
      </c>
      <c r="AG70" s="0" t="n">
        <v>1</v>
      </c>
      <c r="AI70" s="0" t="n">
        <f aca="false">5+AVERAGE(B70:AG70)-MOS!AI65</f>
        <v>2.1875</v>
      </c>
      <c r="AJ70" s="0" t="n">
        <f aca="false">AVERAGE(B70:AG70)</f>
        <v>1.09375</v>
      </c>
    </row>
    <row r="71" customFormat="false" ht="15" hidden="false" customHeight="false" outlineLevel="0" collapsed="false">
      <c r="A71" s="0" t="s">
        <v>175</v>
      </c>
      <c r="B71" s="0" t="n">
        <v>1</v>
      </c>
      <c r="C71" s="0" t="n">
        <v>4</v>
      </c>
      <c r="D71" s="0" t="n">
        <v>3</v>
      </c>
      <c r="E71" s="0" t="n">
        <v>4</v>
      </c>
      <c r="F71" s="0" t="n">
        <v>2</v>
      </c>
      <c r="G71" s="0" t="n">
        <v>3</v>
      </c>
      <c r="H71" s="0" t="n">
        <v>2</v>
      </c>
      <c r="I71" s="0" t="n">
        <v>4</v>
      </c>
      <c r="J71" s="0" t="n">
        <v>2</v>
      </c>
      <c r="K71" s="0" t="n">
        <v>2</v>
      </c>
      <c r="L71" s="0" t="n">
        <v>2</v>
      </c>
      <c r="M71" s="0" t="n">
        <v>1</v>
      </c>
      <c r="N71" s="0" t="n">
        <v>3</v>
      </c>
      <c r="O71" s="0" t="n">
        <v>3</v>
      </c>
      <c r="P71" s="0" t="n">
        <v>2</v>
      </c>
      <c r="Q71" s="0" t="n">
        <v>1</v>
      </c>
      <c r="R71" s="0" t="n">
        <v>4</v>
      </c>
      <c r="S71" s="0" t="n">
        <v>1</v>
      </c>
      <c r="T71" s="0" t="n">
        <v>3</v>
      </c>
      <c r="U71" s="0" t="n">
        <v>2</v>
      </c>
      <c r="V71" s="0" t="n">
        <v>3</v>
      </c>
      <c r="W71" s="0" t="n">
        <v>3</v>
      </c>
      <c r="X71" s="0" t="n">
        <v>3</v>
      </c>
      <c r="Y71" s="0" t="n">
        <v>3</v>
      </c>
      <c r="Z71" s="0" t="n">
        <v>3</v>
      </c>
      <c r="AA71" s="0" t="n">
        <v>3</v>
      </c>
      <c r="AB71" s="0" t="n">
        <v>3</v>
      </c>
      <c r="AC71" s="0" t="n">
        <v>2</v>
      </c>
      <c r="AD71" s="0" t="n">
        <v>2</v>
      </c>
      <c r="AE71" s="0" t="n">
        <v>3</v>
      </c>
      <c r="AF71" s="0" t="n">
        <v>2</v>
      </c>
      <c r="AG71" s="0" t="n">
        <v>2</v>
      </c>
      <c r="AI71" s="0" t="n">
        <f aca="false">5+AVERAGE(B71:AG71)-MOS!AI101</f>
        <v>2.78125</v>
      </c>
      <c r="AJ71" s="0" t="n">
        <f aca="false">AVERAGE(B71:AG71)</f>
        <v>2.53125</v>
      </c>
    </row>
    <row r="72" customFormat="false" ht="15" hidden="false" customHeight="false" outlineLevel="0" collapsed="false">
      <c r="A72" s="0" t="s">
        <v>176</v>
      </c>
      <c r="B72" s="0" t="n">
        <v>2</v>
      </c>
      <c r="C72" s="0" t="n">
        <v>2</v>
      </c>
      <c r="D72" s="0" t="n">
        <v>2</v>
      </c>
      <c r="E72" s="0" t="n">
        <v>2</v>
      </c>
      <c r="F72" s="0" t="n">
        <v>1</v>
      </c>
      <c r="G72" s="0" t="n">
        <v>2</v>
      </c>
      <c r="H72" s="0" t="n">
        <v>1</v>
      </c>
      <c r="I72" s="0" t="n">
        <v>3</v>
      </c>
      <c r="J72" s="0" t="n">
        <v>1</v>
      </c>
      <c r="K72" s="0" t="n">
        <v>1</v>
      </c>
      <c r="L72" s="0" t="n">
        <v>2</v>
      </c>
      <c r="M72" s="0" t="n">
        <v>2</v>
      </c>
      <c r="N72" s="0" t="n">
        <v>2</v>
      </c>
      <c r="O72" s="0" t="n">
        <v>3</v>
      </c>
      <c r="P72" s="0" t="n">
        <v>3</v>
      </c>
      <c r="Q72" s="0" t="n">
        <v>1</v>
      </c>
      <c r="R72" s="0" t="n">
        <v>2</v>
      </c>
      <c r="S72" s="0" t="n">
        <v>1</v>
      </c>
      <c r="T72" s="0" t="n">
        <v>2</v>
      </c>
      <c r="U72" s="0" t="n">
        <v>3</v>
      </c>
      <c r="V72" s="0" t="n">
        <v>3</v>
      </c>
      <c r="W72" s="0" t="n">
        <v>3</v>
      </c>
      <c r="X72" s="0" t="n">
        <v>2</v>
      </c>
      <c r="Y72" s="0" t="n">
        <v>1</v>
      </c>
      <c r="Z72" s="0" t="n">
        <v>3</v>
      </c>
      <c r="AA72" s="0" t="n">
        <v>2</v>
      </c>
      <c r="AB72" s="0" t="n">
        <v>2</v>
      </c>
      <c r="AC72" s="0" t="n">
        <v>3</v>
      </c>
      <c r="AD72" s="0" t="n">
        <v>1</v>
      </c>
      <c r="AE72" s="0" t="n">
        <v>3</v>
      </c>
      <c r="AF72" s="0" t="n">
        <v>1</v>
      </c>
      <c r="AG72" s="0" t="n">
        <v>1</v>
      </c>
      <c r="AI72" s="0" t="n">
        <f aca="false">5+AVERAGE(B72:AG72)-MOS!AI99</f>
        <v>2.3125</v>
      </c>
      <c r="AJ72" s="0" t="n">
        <f aca="false">AVERAGE(B72:AG72)</f>
        <v>1.96875</v>
      </c>
    </row>
    <row r="73" customFormat="false" ht="15" hidden="false" customHeight="false" outlineLevel="0" collapsed="false">
      <c r="A73" s="0" t="s">
        <v>177</v>
      </c>
      <c r="B73" s="0" t="n">
        <v>3</v>
      </c>
      <c r="C73" s="0" t="n">
        <v>4</v>
      </c>
      <c r="D73" s="0" t="n">
        <v>3</v>
      </c>
      <c r="E73" s="0" t="n">
        <v>4</v>
      </c>
      <c r="F73" s="0" t="n">
        <v>4</v>
      </c>
      <c r="G73" s="0" t="n">
        <v>5</v>
      </c>
      <c r="H73" s="0" t="n">
        <v>4</v>
      </c>
      <c r="I73" s="0" t="n">
        <v>5</v>
      </c>
      <c r="J73" s="0" t="n">
        <v>4</v>
      </c>
      <c r="K73" s="0" t="n">
        <v>2</v>
      </c>
      <c r="L73" s="0" t="n">
        <v>3</v>
      </c>
      <c r="M73" s="0" t="n">
        <v>4</v>
      </c>
      <c r="N73" s="0" t="n">
        <v>4</v>
      </c>
      <c r="O73" s="0" t="n">
        <v>5</v>
      </c>
      <c r="P73" s="0" t="n">
        <v>2</v>
      </c>
      <c r="Q73" s="0" t="n">
        <v>1</v>
      </c>
      <c r="R73" s="0" t="n">
        <v>4</v>
      </c>
      <c r="S73" s="0" t="n">
        <v>3</v>
      </c>
      <c r="T73" s="0" t="n">
        <v>5</v>
      </c>
      <c r="U73" s="0" t="n">
        <v>4</v>
      </c>
      <c r="V73" s="0" t="n">
        <v>5</v>
      </c>
      <c r="W73" s="0" t="n">
        <v>4</v>
      </c>
      <c r="X73" s="0" t="n">
        <v>5</v>
      </c>
      <c r="Y73" s="0" t="n">
        <v>5</v>
      </c>
      <c r="Z73" s="0" t="n">
        <v>3</v>
      </c>
      <c r="AA73" s="0" t="n">
        <v>3</v>
      </c>
      <c r="AB73" s="0" t="n">
        <v>4</v>
      </c>
      <c r="AC73" s="0" t="n">
        <v>4</v>
      </c>
      <c r="AD73" s="0" t="n">
        <v>4</v>
      </c>
      <c r="AE73" s="0" t="n">
        <v>3</v>
      </c>
      <c r="AF73" s="0" t="n">
        <v>3</v>
      </c>
      <c r="AG73" s="0" t="n">
        <v>4</v>
      </c>
      <c r="AI73" s="0" t="n">
        <f aca="false">5+AVERAGE(B73:AG73)-MOS!AI100</f>
        <v>4.15625</v>
      </c>
      <c r="AJ73" s="0" t="n">
        <f aca="false">AVERAGE(B73:AG73)</f>
        <v>3.75</v>
      </c>
    </row>
    <row r="74" customFormat="false" ht="15" hidden="false" customHeight="false" outlineLevel="0" collapsed="false">
      <c r="A74" s="0" t="s">
        <v>178</v>
      </c>
      <c r="B74" s="0" t="n">
        <v>2</v>
      </c>
      <c r="C74" s="0" t="n">
        <v>4</v>
      </c>
      <c r="D74" s="0" t="n">
        <v>5</v>
      </c>
      <c r="E74" s="0" t="n">
        <v>3</v>
      </c>
      <c r="F74" s="0" t="n">
        <v>2</v>
      </c>
      <c r="G74" s="0" t="n">
        <v>3</v>
      </c>
      <c r="H74" s="0" t="n">
        <v>4</v>
      </c>
      <c r="I74" s="0" t="n">
        <v>5</v>
      </c>
      <c r="J74" s="0" t="n">
        <v>3</v>
      </c>
      <c r="K74" s="0" t="n">
        <v>1</v>
      </c>
      <c r="L74" s="0" t="n">
        <v>3</v>
      </c>
      <c r="M74" s="0" t="n">
        <v>3</v>
      </c>
      <c r="N74" s="0" t="n">
        <v>3</v>
      </c>
      <c r="O74" s="0" t="n">
        <v>4</v>
      </c>
      <c r="P74" s="0" t="n">
        <v>3</v>
      </c>
      <c r="Q74" s="0" t="n">
        <v>3</v>
      </c>
      <c r="R74" s="0" t="n">
        <v>4</v>
      </c>
      <c r="S74" s="0" t="n">
        <v>3</v>
      </c>
      <c r="T74" s="0" t="n">
        <v>4</v>
      </c>
      <c r="U74" s="0" t="n">
        <v>3</v>
      </c>
      <c r="V74" s="0" t="n">
        <v>3</v>
      </c>
      <c r="W74" s="0" t="n">
        <v>4</v>
      </c>
      <c r="X74" s="0" t="n">
        <v>3</v>
      </c>
      <c r="Y74" s="0" t="n">
        <v>4</v>
      </c>
      <c r="Z74" s="0" t="n">
        <v>3</v>
      </c>
      <c r="AA74" s="0" t="n">
        <v>4</v>
      </c>
      <c r="AB74" s="0" t="n">
        <v>3</v>
      </c>
      <c r="AC74" s="0" t="n">
        <v>3</v>
      </c>
      <c r="AD74" s="0" t="n">
        <v>3</v>
      </c>
      <c r="AE74" s="0" t="n">
        <v>4</v>
      </c>
      <c r="AF74" s="0" t="n">
        <v>2</v>
      </c>
      <c r="AG74" s="0" t="n">
        <v>5</v>
      </c>
      <c r="AI74" s="0" t="n">
        <f aca="false">5+AVERAGE(B74:AG74)-MOS!AI100</f>
        <v>3.71875</v>
      </c>
      <c r="AJ74" s="0" t="n">
        <f aca="false">AVERAGE(B74:AG74)</f>
        <v>3.3125</v>
      </c>
    </row>
    <row r="75" customFormat="false" ht="15" hidden="false" customHeight="false" outlineLevel="0" collapsed="false">
      <c r="A75" s="0" t="s">
        <v>179</v>
      </c>
      <c r="B75" s="0" t="n">
        <v>4</v>
      </c>
      <c r="C75" s="0" t="n">
        <v>3</v>
      </c>
      <c r="D75" s="0" t="n">
        <v>2</v>
      </c>
      <c r="E75" s="0" t="n">
        <v>2</v>
      </c>
      <c r="F75" s="0" t="n">
        <v>1</v>
      </c>
      <c r="G75" s="0" t="n">
        <v>3</v>
      </c>
      <c r="H75" s="0" t="n">
        <v>1</v>
      </c>
      <c r="I75" s="0" t="n">
        <v>3</v>
      </c>
      <c r="J75" s="0" t="n">
        <v>2</v>
      </c>
      <c r="K75" s="0" t="n">
        <v>1</v>
      </c>
      <c r="L75" s="0" t="n">
        <v>2</v>
      </c>
      <c r="M75" s="0" t="n">
        <v>1</v>
      </c>
      <c r="N75" s="0" t="n">
        <v>2</v>
      </c>
      <c r="O75" s="0" t="n">
        <v>2</v>
      </c>
      <c r="P75" s="0" t="n">
        <v>2</v>
      </c>
      <c r="Q75" s="0" t="n">
        <v>1</v>
      </c>
      <c r="R75" s="0" t="n">
        <v>3</v>
      </c>
      <c r="S75" s="0" t="n">
        <v>1</v>
      </c>
      <c r="T75" s="0" t="n">
        <v>3</v>
      </c>
      <c r="U75" s="0" t="n">
        <v>3</v>
      </c>
      <c r="V75" s="0" t="n">
        <v>2</v>
      </c>
      <c r="W75" s="0" t="n">
        <v>2</v>
      </c>
      <c r="X75" s="0" t="n">
        <v>2</v>
      </c>
      <c r="Y75" s="0" t="n">
        <v>3</v>
      </c>
      <c r="Z75" s="0" t="n">
        <v>2</v>
      </c>
      <c r="AA75" s="0" t="n">
        <v>3</v>
      </c>
      <c r="AB75" s="0" t="n">
        <v>2</v>
      </c>
      <c r="AC75" s="0" t="n">
        <v>2</v>
      </c>
      <c r="AD75" s="0" t="n">
        <v>1</v>
      </c>
      <c r="AE75" s="0" t="n">
        <v>2</v>
      </c>
      <c r="AF75" s="0" t="n">
        <v>1</v>
      </c>
      <c r="AG75" s="0" t="n">
        <v>3</v>
      </c>
      <c r="AI75" s="0" t="n">
        <f aca="false">5+AVERAGE(B75:AG75)-MOS!AI101</f>
        <v>2.34375</v>
      </c>
      <c r="AJ75" s="0" t="n">
        <f aca="false">AVERAGE(B75:AG75)</f>
        <v>2.09375</v>
      </c>
    </row>
    <row r="76" customFormat="false" ht="15" hidden="false" customHeight="false" outlineLevel="0" collapsed="false">
      <c r="A76" s="0" t="s">
        <v>180</v>
      </c>
      <c r="B76" s="0" t="n">
        <v>2</v>
      </c>
      <c r="C76" s="0" t="n">
        <v>2</v>
      </c>
      <c r="D76" s="0" t="n">
        <v>1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3</v>
      </c>
      <c r="J76" s="0" t="n">
        <v>2</v>
      </c>
      <c r="K76" s="0" t="n">
        <v>1</v>
      </c>
      <c r="L76" s="0" t="n">
        <v>3</v>
      </c>
      <c r="M76" s="0" t="n">
        <v>2</v>
      </c>
      <c r="N76" s="0" t="n">
        <v>3</v>
      </c>
      <c r="O76" s="0" t="n">
        <v>2</v>
      </c>
      <c r="P76" s="0" t="n">
        <v>2</v>
      </c>
      <c r="Q76" s="0" t="n">
        <v>1</v>
      </c>
      <c r="R76" s="0" t="n">
        <v>3</v>
      </c>
      <c r="S76" s="0" t="n">
        <v>1</v>
      </c>
      <c r="T76" s="0" t="n">
        <v>2</v>
      </c>
      <c r="U76" s="0" t="n">
        <v>2</v>
      </c>
      <c r="V76" s="0" t="n">
        <v>3</v>
      </c>
      <c r="W76" s="0" t="n">
        <v>2</v>
      </c>
      <c r="X76" s="0" t="n">
        <v>2</v>
      </c>
      <c r="Y76" s="0" t="n">
        <v>1</v>
      </c>
      <c r="Z76" s="0" t="n">
        <v>2</v>
      </c>
      <c r="AA76" s="0" t="n">
        <v>2</v>
      </c>
      <c r="AB76" s="0" t="n">
        <v>2</v>
      </c>
      <c r="AC76" s="0" t="n">
        <v>2</v>
      </c>
      <c r="AD76" s="0" t="n">
        <v>2</v>
      </c>
      <c r="AE76" s="0" t="n">
        <v>2</v>
      </c>
      <c r="AF76" s="0" t="n">
        <v>1</v>
      </c>
      <c r="AG76" s="0" t="n">
        <v>3</v>
      </c>
      <c r="AI76" s="0" t="n">
        <f aca="false">5+AVERAGE(B76:AG76)-MOS!AI99</f>
        <v>2.28125</v>
      </c>
      <c r="AJ76" s="0" t="n">
        <f aca="false">AVERAGE(B76:AG76)</f>
        <v>1.9375</v>
      </c>
    </row>
    <row r="77" customFormat="false" ht="15" hidden="false" customHeight="false" outlineLevel="0" collapsed="false">
      <c r="A77" s="0" t="s">
        <v>181</v>
      </c>
      <c r="B77" s="0" t="n">
        <v>2</v>
      </c>
      <c r="C77" s="0" t="n">
        <v>3</v>
      </c>
      <c r="D77" s="0" t="n">
        <v>3</v>
      </c>
      <c r="E77" s="0" t="n">
        <v>3</v>
      </c>
      <c r="F77" s="0" t="n">
        <v>2</v>
      </c>
      <c r="G77" s="0" t="n">
        <v>4</v>
      </c>
      <c r="H77" s="0" t="n">
        <v>2</v>
      </c>
      <c r="I77" s="0" t="n">
        <v>3</v>
      </c>
      <c r="J77" s="0" t="n">
        <v>3</v>
      </c>
      <c r="K77" s="0" t="n">
        <v>2</v>
      </c>
      <c r="L77" s="0" t="n">
        <v>3</v>
      </c>
      <c r="M77" s="0" t="n">
        <v>4</v>
      </c>
      <c r="N77" s="0" t="n">
        <v>4</v>
      </c>
      <c r="O77" s="0" t="n">
        <v>4</v>
      </c>
      <c r="P77" s="0" t="n">
        <v>2</v>
      </c>
      <c r="Q77" s="0" t="n">
        <v>1</v>
      </c>
      <c r="R77" s="0" t="n">
        <v>3</v>
      </c>
      <c r="S77" s="0" t="n">
        <v>3</v>
      </c>
      <c r="T77" s="0" t="n">
        <v>5</v>
      </c>
      <c r="U77" s="0" t="n">
        <v>3</v>
      </c>
      <c r="V77" s="0" t="n">
        <v>2</v>
      </c>
      <c r="W77" s="0" t="n">
        <v>3</v>
      </c>
      <c r="X77" s="0" t="n">
        <v>3</v>
      </c>
      <c r="Y77" s="0" t="n">
        <v>3</v>
      </c>
      <c r="Z77" s="0" t="n">
        <v>2</v>
      </c>
      <c r="AA77" s="0" t="n">
        <v>3</v>
      </c>
      <c r="AB77" s="0" t="n">
        <v>3</v>
      </c>
      <c r="AC77" s="0" t="n">
        <v>3</v>
      </c>
      <c r="AD77" s="0" t="n">
        <v>3</v>
      </c>
      <c r="AE77" s="0" t="n">
        <v>3</v>
      </c>
      <c r="AF77" s="0" t="n">
        <v>1</v>
      </c>
      <c r="AG77" s="0" t="n">
        <v>3</v>
      </c>
      <c r="AI77" s="0" t="n">
        <f aca="false">5+AVERAGE(B77:AG77)-MOS!AI100</f>
        <v>3.25</v>
      </c>
      <c r="AJ77" s="0" t="n">
        <f aca="false">AVERAGE(B77:AG77)</f>
        <v>2.84375</v>
      </c>
    </row>
    <row r="78" customFormat="false" ht="15" hidden="false" customHeight="false" outlineLevel="0" collapsed="false">
      <c r="A78" s="0" t="s">
        <v>182</v>
      </c>
      <c r="B78" s="0" t="n">
        <v>3</v>
      </c>
      <c r="C78" s="0" t="n">
        <v>3</v>
      </c>
      <c r="D78" s="0" t="n">
        <v>2</v>
      </c>
      <c r="E78" s="0" t="n">
        <v>2</v>
      </c>
      <c r="F78" s="0" t="n">
        <v>2</v>
      </c>
      <c r="G78" s="0" t="n">
        <v>3</v>
      </c>
      <c r="H78" s="0" t="n">
        <v>2</v>
      </c>
      <c r="I78" s="0" t="n">
        <v>4</v>
      </c>
      <c r="J78" s="0" t="n">
        <v>3</v>
      </c>
      <c r="K78" s="0" t="n">
        <v>2</v>
      </c>
      <c r="L78" s="0" t="n">
        <v>3</v>
      </c>
      <c r="M78" s="0" t="n">
        <v>4</v>
      </c>
      <c r="N78" s="0" t="n">
        <v>3</v>
      </c>
      <c r="O78" s="0" t="n">
        <v>3</v>
      </c>
      <c r="P78" s="0" t="n">
        <v>3</v>
      </c>
      <c r="Q78" s="0" t="n">
        <v>1</v>
      </c>
      <c r="R78" s="0" t="n">
        <v>4</v>
      </c>
      <c r="S78" s="0" t="n">
        <v>1</v>
      </c>
      <c r="T78" s="0" t="n">
        <v>3</v>
      </c>
      <c r="U78" s="0" t="n">
        <v>3</v>
      </c>
      <c r="V78" s="0" t="n">
        <v>3</v>
      </c>
      <c r="W78" s="0" t="n">
        <v>2</v>
      </c>
      <c r="X78" s="0" t="n">
        <v>3</v>
      </c>
      <c r="Y78" s="0" t="n">
        <v>3</v>
      </c>
      <c r="Z78" s="0" t="n">
        <v>2</v>
      </c>
      <c r="AA78" s="0" t="n">
        <v>4</v>
      </c>
      <c r="AB78" s="0" t="n">
        <v>3</v>
      </c>
      <c r="AC78" s="0" t="n">
        <v>3</v>
      </c>
      <c r="AD78" s="0" t="n">
        <v>3</v>
      </c>
      <c r="AE78" s="0" t="n">
        <v>2</v>
      </c>
      <c r="AF78" s="0" t="n">
        <v>1</v>
      </c>
      <c r="AG78" s="0" t="n">
        <v>3</v>
      </c>
      <c r="AI78" s="0" t="n">
        <f aca="false">5+AVERAGE(B78:AG78)-MOS!AI100</f>
        <v>3.09375</v>
      </c>
      <c r="AJ78" s="0" t="n">
        <f aca="false">AVERAGE(B78:AG78)</f>
        <v>2.6875</v>
      </c>
    </row>
    <row r="79" customFormat="false" ht="15" hidden="false" customHeight="false" outlineLevel="0" collapsed="false">
      <c r="A79" s="0" t="s">
        <v>183</v>
      </c>
      <c r="B79" s="0" t="n">
        <v>1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3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1</v>
      </c>
      <c r="AA79" s="0" t="n">
        <v>1</v>
      </c>
      <c r="AB79" s="0" t="n">
        <v>1</v>
      </c>
      <c r="AC79" s="0" t="n">
        <v>1</v>
      </c>
      <c r="AD79" s="0" t="n">
        <v>1</v>
      </c>
      <c r="AE79" s="0" t="n">
        <v>1</v>
      </c>
      <c r="AF79" s="0" t="n">
        <v>1</v>
      </c>
      <c r="AG79" s="0" t="n">
        <v>1</v>
      </c>
      <c r="AI79" s="0" t="n">
        <f aca="false">5+AVERAGE(B79:AG79)-MOS!AI101</f>
        <v>1.40625</v>
      </c>
      <c r="AJ79" s="0" t="n">
        <f aca="false">AVERAGE(B79:AG79)</f>
        <v>1.15625</v>
      </c>
    </row>
    <row r="80" customFormat="false" ht="15" hidden="false" customHeight="false" outlineLevel="0" collapsed="false">
      <c r="A80" s="0" t="s">
        <v>184</v>
      </c>
      <c r="B80" s="0" t="n">
        <v>1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2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2</v>
      </c>
      <c r="Z80" s="0" t="n">
        <v>2</v>
      </c>
      <c r="AA80" s="0" t="n">
        <v>1</v>
      </c>
      <c r="AB80" s="0" t="n">
        <v>1</v>
      </c>
      <c r="AC80" s="0" t="n">
        <v>1</v>
      </c>
      <c r="AD80" s="0" t="n">
        <v>1</v>
      </c>
      <c r="AE80" s="0" t="n">
        <v>2</v>
      </c>
      <c r="AF80" s="0" t="n">
        <v>1</v>
      </c>
      <c r="AG80" s="0" t="n">
        <v>1</v>
      </c>
      <c r="AI80" s="0" t="n">
        <f aca="false">5+AVERAGE(B80:AG80)-MOS!AI99</f>
        <v>1.5</v>
      </c>
      <c r="AJ80" s="0" t="n">
        <f aca="false">AVERAGE(B80:AG80)</f>
        <v>1.15625</v>
      </c>
    </row>
    <row r="81" customFormat="false" ht="15" hidden="false" customHeight="false" outlineLevel="0" collapsed="false">
      <c r="A81" s="0" t="s">
        <v>185</v>
      </c>
      <c r="B81" s="0" t="n">
        <v>1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2</v>
      </c>
      <c r="H81" s="0" t="n">
        <v>1</v>
      </c>
      <c r="I81" s="0" t="n">
        <v>2</v>
      </c>
      <c r="J81" s="0" t="n">
        <v>1</v>
      </c>
      <c r="K81" s="0" t="n">
        <v>1</v>
      </c>
      <c r="L81" s="0" t="n">
        <v>1</v>
      </c>
      <c r="M81" s="0" t="n">
        <v>3</v>
      </c>
      <c r="N81" s="0" t="n">
        <v>1</v>
      </c>
      <c r="O81" s="0" t="n">
        <v>1</v>
      </c>
      <c r="P81" s="0" t="n">
        <v>2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2</v>
      </c>
      <c r="Z81" s="0" t="n">
        <v>1</v>
      </c>
      <c r="AA81" s="0" t="n">
        <v>1</v>
      </c>
      <c r="AB81" s="0" t="n">
        <v>1</v>
      </c>
      <c r="AC81" s="0" t="n">
        <v>1</v>
      </c>
      <c r="AD81" s="0" t="n">
        <v>1</v>
      </c>
      <c r="AE81" s="0" t="n">
        <v>1</v>
      </c>
      <c r="AF81" s="0" t="n">
        <v>1</v>
      </c>
      <c r="AG81" s="0" t="n">
        <v>1</v>
      </c>
      <c r="AI81" s="0" t="n">
        <f aca="false">5+AVERAGE(B81:AG81)-MOS!AI100</f>
        <v>1.59375</v>
      </c>
      <c r="AJ81" s="0" t="n">
        <f aca="false">AVERAGE(B81:AG81)</f>
        <v>1.1875</v>
      </c>
    </row>
    <row r="82" customFormat="false" ht="15" hidden="false" customHeight="false" outlineLevel="0" collapsed="false">
      <c r="A82" s="0" t="s">
        <v>186</v>
      </c>
      <c r="B82" s="0" t="n">
        <v>1</v>
      </c>
      <c r="C82" s="0" t="n">
        <v>1</v>
      </c>
      <c r="D82" s="0" t="n">
        <v>2</v>
      </c>
      <c r="E82" s="0" t="n">
        <v>2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3</v>
      </c>
      <c r="N82" s="0" t="n">
        <v>1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1</v>
      </c>
      <c r="V82" s="0" t="n">
        <v>2</v>
      </c>
      <c r="W82" s="0" t="n">
        <v>1</v>
      </c>
      <c r="X82" s="0" t="n">
        <v>1</v>
      </c>
      <c r="Y82" s="0" t="n">
        <v>2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1</v>
      </c>
      <c r="AI82" s="0" t="n">
        <f aca="false">5+AVERAGE(B82:AG82)-MOS!AI100</f>
        <v>1.6875</v>
      </c>
      <c r="AJ82" s="0" t="n">
        <f aca="false">AVERAGE(B82:AG82)</f>
        <v>1.28125</v>
      </c>
    </row>
    <row r="83" customFormat="false" ht="15" hidden="false" customHeight="false" outlineLevel="0" collapsed="false">
      <c r="A83" s="0" t="s">
        <v>187</v>
      </c>
      <c r="B83" s="0" t="n">
        <v>1</v>
      </c>
      <c r="C83" s="0" t="n">
        <v>1</v>
      </c>
      <c r="D83" s="0" t="n">
        <v>2</v>
      </c>
      <c r="E83" s="0" t="n">
        <v>2</v>
      </c>
      <c r="F83" s="0" t="n">
        <v>1</v>
      </c>
      <c r="G83" s="0" t="n">
        <v>2</v>
      </c>
      <c r="H83" s="0" t="n">
        <v>1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2</v>
      </c>
      <c r="P83" s="0" t="n">
        <v>2</v>
      </c>
      <c r="Q83" s="0" t="n">
        <v>1</v>
      </c>
      <c r="R83" s="0" t="n">
        <v>2</v>
      </c>
      <c r="S83" s="0" t="n">
        <v>1</v>
      </c>
      <c r="T83" s="0" t="n">
        <v>1</v>
      </c>
      <c r="U83" s="0" t="n">
        <v>2</v>
      </c>
      <c r="V83" s="0" t="n">
        <v>1</v>
      </c>
      <c r="W83" s="0" t="n">
        <v>1</v>
      </c>
      <c r="X83" s="0" t="n">
        <v>2</v>
      </c>
      <c r="Y83" s="0" t="n">
        <v>2</v>
      </c>
      <c r="Z83" s="0" t="n">
        <v>1</v>
      </c>
      <c r="AA83" s="0" t="n">
        <v>2</v>
      </c>
      <c r="AB83" s="0" t="n">
        <v>1</v>
      </c>
      <c r="AC83" s="0" t="n">
        <v>2</v>
      </c>
      <c r="AD83" s="0" t="n">
        <v>2</v>
      </c>
      <c r="AE83" s="0" t="n">
        <v>1</v>
      </c>
      <c r="AF83" s="0" t="n">
        <v>1</v>
      </c>
      <c r="AG83" s="0" t="n">
        <v>1</v>
      </c>
      <c r="AI83" s="0" t="n">
        <f aca="false">5+AVERAGE(B83:AG83)-MOS!AI101</f>
        <v>1.6875</v>
      </c>
      <c r="AJ83" s="0" t="n">
        <f aca="false">AVERAGE(B83:AG83)</f>
        <v>1.4375</v>
      </c>
    </row>
    <row r="84" customFormat="false" ht="15" hidden="false" customHeight="false" outlineLevel="0" collapsed="false">
      <c r="A84" s="0" t="s">
        <v>188</v>
      </c>
      <c r="B84" s="0" t="n">
        <v>2</v>
      </c>
      <c r="C84" s="0" t="n">
        <v>1</v>
      </c>
      <c r="D84" s="0" t="n">
        <v>2</v>
      </c>
      <c r="E84" s="0" t="n">
        <v>2</v>
      </c>
      <c r="F84" s="0" t="n">
        <v>2</v>
      </c>
      <c r="G84" s="0" t="n">
        <v>2</v>
      </c>
      <c r="H84" s="0" t="n">
        <v>2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2</v>
      </c>
      <c r="N84" s="0" t="n">
        <v>2</v>
      </c>
      <c r="O84" s="0" t="n">
        <v>2</v>
      </c>
      <c r="P84" s="0" t="n">
        <v>1</v>
      </c>
      <c r="Q84" s="0" t="n">
        <v>1</v>
      </c>
      <c r="R84" s="0" t="n">
        <v>3</v>
      </c>
      <c r="S84" s="0" t="n">
        <v>1</v>
      </c>
      <c r="T84" s="0" t="n">
        <v>1</v>
      </c>
      <c r="U84" s="0" t="n">
        <v>2</v>
      </c>
      <c r="V84" s="0" t="n">
        <v>2</v>
      </c>
      <c r="W84" s="0" t="n">
        <v>2</v>
      </c>
      <c r="X84" s="0" t="n">
        <v>1</v>
      </c>
      <c r="Y84" s="0" t="n">
        <v>1</v>
      </c>
      <c r="Z84" s="0" t="n">
        <v>2</v>
      </c>
      <c r="AA84" s="0" t="n">
        <v>2</v>
      </c>
      <c r="AB84" s="0" t="n">
        <v>1</v>
      </c>
      <c r="AC84" s="0" t="n">
        <v>2</v>
      </c>
      <c r="AD84" s="0" t="n">
        <v>1</v>
      </c>
      <c r="AE84" s="0" t="n">
        <v>1</v>
      </c>
      <c r="AF84" s="0" t="n">
        <v>1</v>
      </c>
      <c r="AG84" s="0" t="n">
        <v>2</v>
      </c>
      <c r="AI84" s="0" t="n">
        <f aca="false">5+AVERAGE(B84:AG84)-MOS!AI99</f>
        <v>1.9375</v>
      </c>
      <c r="AJ84" s="0" t="n">
        <f aca="false">AVERAGE(B84:AG84)</f>
        <v>1.59375</v>
      </c>
    </row>
    <row r="85" customFormat="false" ht="15" hidden="false" customHeight="false" outlineLevel="0" collapsed="false">
      <c r="A85" s="0" t="s">
        <v>189</v>
      </c>
      <c r="B85" s="0" t="n">
        <v>2</v>
      </c>
      <c r="C85" s="0" t="n">
        <v>2</v>
      </c>
      <c r="D85" s="0" t="n">
        <v>3</v>
      </c>
      <c r="E85" s="0" t="n">
        <v>3</v>
      </c>
      <c r="F85" s="0" t="n">
        <v>2</v>
      </c>
      <c r="G85" s="0" t="n">
        <v>2</v>
      </c>
      <c r="H85" s="0" t="n">
        <v>2</v>
      </c>
      <c r="I85" s="0" t="n">
        <v>3</v>
      </c>
      <c r="J85" s="0" t="n">
        <v>3</v>
      </c>
      <c r="K85" s="0" t="n">
        <v>1</v>
      </c>
      <c r="L85" s="0" t="n">
        <v>2</v>
      </c>
      <c r="M85" s="0" t="n">
        <v>2</v>
      </c>
      <c r="N85" s="0" t="n">
        <v>2</v>
      </c>
      <c r="O85" s="0" t="n">
        <v>2</v>
      </c>
      <c r="P85" s="0" t="n">
        <v>2</v>
      </c>
      <c r="Q85" s="0" t="n">
        <v>2</v>
      </c>
      <c r="R85" s="0" t="n">
        <v>4</v>
      </c>
      <c r="S85" s="0" t="n">
        <v>2</v>
      </c>
      <c r="T85" s="0" t="n">
        <v>4</v>
      </c>
      <c r="U85" s="0" t="n">
        <v>2</v>
      </c>
      <c r="V85" s="0" t="n">
        <v>2</v>
      </c>
      <c r="W85" s="0" t="n">
        <v>2</v>
      </c>
      <c r="X85" s="0" t="n">
        <v>3</v>
      </c>
      <c r="Y85" s="0" t="n">
        <v>3</v>
      </c>
      <c r="Z85" s="0" t="n">
        <v>2</v>
      </c>
      <c r="AA85" s="0" t="n">
        <v>2</v>
      </c>
      <c r="AB85" s="0" t="n">
        <v>2</v>
      </c>
      <c r="AC85" s="0" t="n">
        <v>2</v>
      </c>
      <c r="AD85" s="0" t="n">
        <v>3</v>
      </c>
      <c r="AE85" s="0" t="n">
        <v>2</v>
      </c>
      <c r="AF85" s="0" t="n">
        <v>1</v>
      </c>
      <c r="AG85" s="0" t="n">
        <v>3</v>
      </c>
      <c r="AI85" s="0" t="n">
        <f aca="false">5+AVERAGE(B85:AG85)-MOS!AI100</f>
        <v>2.71875</v>
      </c>
      <c r="AJ85" s="0" t="n">
        <f aca="false">AVERAGE(B85:AG85)</f>
        <v>2.3125</v>
      </c>
    </row>
    <row r="86" customFormat="false" ht="15" hidden="false" customHeight="false" outlineLevel="0" collapsed="false">
      <c r="A86" s="0" t="s">
        <v>190</v>
      </c>
      <c r="B86" s="0" t="n">
        <v>2</v>
      </c>
      <c r="C86" s="0" t="n">
        <v>2</v>
      </c>
      <c r="D86" s="0" t="n">
        <v>2</v>
      </c>
      <c r="E86" s="0" t="n">
        <v>2</v>
      </c>
      <c r="F86" s="0" t="n">
        <v>2</v>
      </c>
      <c r="G86" s="0" t="n">
        <v>3</v>
      </c>
      <c r="H86" s="0" t="n">
        <v>2</v>
      </c>
      <c r="I86" s="0" t="n">
        <v>3</v>
      </c>
      <c r="J86" s="0" t="n">
        <v>3</v>
      </c>
      <c r="K86" s="0" t="n">
        <v>2</v>
      </c>
      <c r="L86" s="0" t="n">
        <v>3</v>
      </c>
      <c r="M86" s="0" t="n">
        <v>3</v>
      </c>
      <c r="N86" s="0" t="n">
        <v>3</v>
      </c>
      <c r="O86" s="0" t="n">
        <v>2</v>
      </c>
      <c r="P86" s="0" t="n">
        <v>2</v>
      </c>
      <c r="Q86" s="0" t="n">
        <v>1</v>
      </c>
      <c r="R86" s="0" t="n">
        <v>3</v>
      </c>
      <c r="S86" s="0" t="n">
        <v>2</v>
      </c>
      <c r="T86" s="0" t="n">
        <v>3</v>
      </c>
      <c r="U86" s="0" t="n">
        <v>3</v>
      </c>
      <c r="V86" s="0" t="n">
        <v>2</v>
      </c>
      <c r="W86" s="0" t="n">
        <v>2</v>
      </c>
      <c r="X86" s="0" t="n">
        <v>3</v>
      </c>
      <c r="Y86" s="0" t="n">
        <v>1</v>
      </c>
      <c r="Z86" s="0" t="n">
        <v>2</v>
      </c>
      <c r="AA86" s="0" t="n">
        <v>3</v>
      </c>
      <c r="AB86" s="0" t="n">
        <v>2</v>
      </c>
      <c r="AC86" s="0" t="n">
        <v>2</v>
      </c>
      <c r="AD86" s="0" t="n">
        <v>2</v>
      </c>
      <c r="AE86" s="0" t="n">
        <v>3</v>
      </c>
      <c r="AF86" s="0" t="n">
        <v>1</v>
      </c>
      <c r="AG86" s="0" t="n">
        <v>2</v>
      </c>
      <c r="AI86" s="0" t="n">
        <f aca="false">5+AVERAGE(B86:AG86)-MOS!AI100</f>
        <v>2.6875</v>
      </c>
      <c r="AJ86" s="0" t="n">
        <f aca="false">AVERAGE(B86:AG86)</f>
        <v>2.28125</v>
      </c>
    </row>
    <row r="87" customFormat="false" ht="15" hidden="false" customHeight="false" outlineLevel="0" collapsed="false">
      <c r="A87" s="0" t="s">
        <v>191</v>
      </c>
      <c r="B87" s="0" t="n">
        <v>2</v>
      </c>
      <c r="C87" s="0" t="n">
        <v>1</v>
      </c>
      <c r="D87" s="0" t="n">
        <v>2</v>
      </c>
      <c r="E87" s="0" t="n">
        <v>2</v>
      </c>
      <c r="F87" s="0" t="n">
        <v>1</v>
      </c>
      <c r="G87" s="0" t="n">
        <v>2</v>
      </c>
      <c r="H87" s="0" t="n">
        <v>1</v>
      </c>
      <c r="I87" s="0" t="n">
        <v>2</v>
      </c>
      <c r="J87" s="0" t="n">
        <v>1</v>
      </c>
      <c r="K87" s="0" t="n">
        <v>1</v>
      </c>
      <c r="L87" s="0" t="n">
        <v>2</v>
      </c>
      <c r="M87" s="0" t="n">
        <v>1</v>
      </c>
      <c r="N87" s="0" t="n">
        <v>1</v>
      </c>
      <c r="O87" s="0" t="n">
        <v>2</v>
      </c>
      <c r="P87" s="0" t="n">
        <v>1</v>
      </c>
      <c r="Q87" s="0" t="n">
        <v>1</v>
      </c>
      <c r="R87" s="0" t="n">
        <v>2</v>
      </c>
      <c r="S87" s="0" t="n">
        <v>2</v>
      </c>
      <c r="T87" s="0" t="n">
        <v>1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3</v>
      </c>
      <c r="Z87" s="0" t="n">
        <v>1</v>
      </c>
      <c r="AA87" s="0" t="n">
        <v>2</v>
      </c>
      <c r="AB87" s="0" t="n">
        <v>1</v>
      </c>
      <c r="AC87" s="0" t="n">
        <v>2</v>
      </c>
      <c r="AD87" s="0" t="n">
        <v>1</v>
      </c>
      <c r="AE87" s="0" t="n">
        <v>1</v>
      </c>
      <c r="AF87" s="0" t="n">
        <v>1</v>
      </c>
      <c r="AG87" s="0" t="n">
        <v>1</v>
      </c>
      <c r="AI87" s="0" t="n">
        <f aca="false">5+AVERAGE(B87:AG87)-MOS!AI101</f>
        <v>1.65625</v>
      </c>
      <c r="AJ87" s="0" t="n">
        <f aca="false">AVERAGE(B87:AG87)</f>
        <v>1.40625</v>
      </c>
    </row>
    <row r="88" customFormat="false" ht="15" hidden="false" customHeight="false" outlineLevel="0" collapsed="false">
      <c r="A88" s="0" t="s">
        <v>192</v>
      </c>
      <c r="B88" s="0" t="n">
        <v>2</v>
      </c>
      <c r="C88" s="0" t="n">
        <v>1</v>
      </c>
      <c r="D88" s="0" t="n">
        <v>2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3</v>
      </c>
      <c r="J88" s="0" t="n">
        <v>1</v>
      </c>
      <c r="K88" s="0" t="n">
        <v>1</v>
      </c>
      <c r="L88" s="0" t="n">
        <v>2</v>
      </c>
      <c r="M88" s="0" t="n">
        <v>2</v>
      </c>
      <c r="N88" s="0" t="n">
        <v>2</v>
      </c>
      <c r="O88" s="0" t="n">
        <v>3</v>
      </c>
      <c r="P88" s="0" t="n">
        <v>1</v>
      </c>
      <c r="Q88" s="0" t="n">
        <v>1</v>
      </c>
      <c r="R88" s="0" t="n">
        <v>2</v>
      </c>
      <c r="S88" s="0" t="n">
        <v>2</v>
      </c>
      <c r="T88" s="0" t="n">
        <v>1</v>
      </c>
      <c r="U88" s="0" t="n">
        <v>1</v>
      </c>
      <c r="V88" s="0" t="n">
        <v>2</v>
      </c>
      <c r="W88" s="0" t="n">
        <v>2</v>
      </c>
      <c r="X88" s="0" t="n">
        <v>1</v>
      </c>
      <c r="Y88" s="0" t="n">
        <v>3</v>
      </c>
      <c r="Z88" s="0" t="n">
        <v>1</v>
      </c>
      <c r="AA88" s="0" t="n">
        <v>2</v>
      </c>
      <c r="AB88" s="0" t="n">
        <v>1</v>
      </c>
      <c r="AC88" s="0" t="n">
        <v>2</v>
      </c>
      <c r="AD88" s="0" t="n">
        <v>2</v>
      </c>
      <c r="AE88" s="0" t="n">
        <v>2</v>
      </c>
      <c r="AF88" s="0" t="n">
        <v>1</v>
      </c>
      <c r="AG88" s="0" t="n">
        <v>2</v>
      </c>
      <c r="AI88" s="0" t="n">
        <f aca="false">5+AVERAGE(B88:AG88)-MOS!AI99</f>
        <v>2.03125</v>
      </c>
      <c r="AJ88" s="0" t="n">
        <f aca="false">AVERAGE(B88:AG88)</f>
        <v>1.6875</v>
      </c>
    </row>
    <row r="89" customFormat="false" ht="15" hidden="false" customHeight="false" outlineLevel="0" collapsed="false">
      <c r="A89" s="0" t="s">
        <v>193</v>
      </c>
      <c r="B89" s="0" t="n">
        <v>2</v>
      </c>
      <c r="C89" s="0" t="n">
        <v>2</v>
      </c>
      <c r="D89" s="0" t="n">
        <v>1</v>
      </c>
      <c r="E89" s="0" t="n">
        <v>2</v>
      </c>
      <c r="F89" s="0" t="n">
        <v>1</v>
      </c>
      <c r="G89" s="0" t="n">
        <v>3</v>
      </c>
      <c r="H89" s="0" t="n">
        <v>2</v>
      </c>
      <c r="I89" s="0" t="n">
        <v>3</v>
      </c>
      <c r="J89" s="0" t="n">
        <v>3</v>
      </c>
      <c r="K89" s="0" t="n">
        <v>2</v>
      </c>
      <c r="L89" s="0" t="n">
        <v>2</v>
      </c>
      <c r="M89" s="0" t="n">
        <v>3</v>
      </c>
      <c r="N89" s="0" t="n">
        <v>3</v>
      </c>
      <c r="O89" s="0" t="n">
        <v>3</v>
      </c>
      <c r="P89" s="0" t="n">
        <v>2</v>
      </c>
      <c r="Q89" s="0" t="n">
        <v>1</v>
      </c>
      <c r="R89" s="0" t="n">
        <v>2</v>
      </c>
      <c r="S89" s="0" t="n">
        <v>1</v>
      </c>
      <c r="T89" s="0" t="n">
        <v>2</v>
      </c>
      <c r="U89" s="0" t="n">
        <v>2</v>
      </c>
      <c r="V89" s="0" t="n">
        <v>2</v>
      </c>
      <c r="W89" s="0" t="n">
        <v>1</v>
      </c>
      <c r="X89" s="0" t="n">
        <v>2</v>
      </c>
      <c r="Y89" s="0" t="n">
        <v>1</v>
      </c>
      <c r="Z89" s="0" t="n">
        <v>2</v>
      </c>
      <c r="AA89" s="0" t="n">
        <v>2</v>
      </c>
      <c r="AB89" s="0" t="n">
        <v>1</v>
      </c>
      <c r="AC89" s="0" t="n">
        <v>2</v>
      </c>
      <c r="AD89" s="0" t="n">
        <v>2</v>
      </c>
      <c r="AE89" s="0" t="n">
        <v>2</v>
      </c>
      <c r="AF89" s="0" t="n">
        <v>1</v>
      </c>
      <c r="AG89" s="0" t="n">
        <v>2</v>
      </c>
      <c r="AI89" s="0" t="n">
        <f aca="false">5+AVERAGE(B89:AG89)-MOS!AI100</f>
        <v>2.34375</v>
      </c>
      <c r="AJ89" s="0" t="n">
        <f aca="false">AVERAGE(B89:AG89)</f>
        <v>1.9375</v>
      </c>
    </row>
    <row r="90" customFormat="false" ht="15" hidden="false" customHeight="false" outlineLevel="0" collapsed="false">
      <c r="A90" s="0" t="s">
        <v>194</v>
      </c>
      <c r="B90" s="0" t="n">
        <v>2</v>
      </c>
      <c r="C90" s="0" t="n">
        <v>2</v>
      </c>
      <c r="D90" s="0" t="n">
        <v>2</v>
      </c>
      <c r="E90" s="0" t="n">
        <v>3</v>
      </c>
      <c r="F90" s="0" t="n">
        <v>1</v>
      </c>
      <c r="G90" s="0" t="n">
        <v>3</v>
      </c>
      <c r="H90" s="0" t="n">
        <v>2</v>
      </c>
      <c r="I90" s="0" t="n">
        <v>3</v>
      </c>
      <c r="J90" s="0" t="n">
        <v>2</v>
      </c>
      <c r="K90" s="0" t="n">
        <v>1</v>
      </c>
      <c r="L90" s="0" t="n">
        <v>2</v>
      </c>
      <c r="M90" s="0" t="n">
        <v>3</v>
      </c>
      <c r="N90" s="0" t="n">
        <v>3</v>
      </c>
      <c r="O90" s="0" t="n">
        <v>3</v>
      </c>
      <c r="P90" s="0" t="n">
        <v>2</v>
      </c>
      <c r="Q90" s="0" t="n">
        <v>1</v>
      </c>
      <c r="R90" s="0" t="n">
        <v>2</v>
      </c>
      <c r="S90" s="0" t="n">
        <v>1</v>
      </c>
      <c r="T90" s="0" t="n">
        <v>3</v>
      </c>
      <c r="U90" s="0" t="n">
        <v>2</v>
      </c>
      <c r="V90" s="0" t="n">
        <v>2</v>
      </c>
      <c r="W90" s="0" t="n">
        <v>1</v>
      </c>
      <c r="X90" s="0" t="n">
        <v>2</v>
      </c>
      <c r="Y90" s="0" t="n">
        <v>3</v>
      </c>
      <c r="Z90" s="0" t="n">
        <v>2</v>
      </c>
      <c r="AA90" s="0" t="n">
        <v>2</v>
      </c>
      <c r="AB90" s="0" t="n">
        <v>1</v>
      </c>
      <c r="AC90" s="0" t="n">
        <v>3</v>
      </c>
      <c r="AD90" s="0" t="n">
        <v>2</v>
      </c>
      <c r="AE90" s="0" t="n">
        <v>2</v>
      </c>
      <c r="AF90" s="0" t="n">
        <v>1</v>
      </c>
      <c r="AG90" s="0" t="n">
        <v>2</v>
      </c>
      <c r="AI90" s="0" t="n">
        <f aca="false">5+AVERAGE(B90:AG90)-MOS!AI100</f>
        <v>2.46875</v>
      </c>
      <c r="AJ90" s="0" t="n">
        <f aca="false">AVERAGE(B90:AG90)</f>
        <v>2.0625</v>
      </c>
    </row>
    <row r="91" customFormat="false" ht="15" hidden="false" customHeight="false" outlineLevel="0" collapsed="false">
      <c r="A91" s="0" t="s">
        <v>195</v>
      </c>
      <c r="B91" s="0" t="n">
        <v>2</v>
      </c>
      <c r="C91" s="0" t="n">
        <v>1</v>
      </c>
      <c r="D91" s="0" t="n">
        <v>1</v>
      </c>
      <c r="E91" s="0" t="n">
        <v>2</v>
      </c>
      <c r="F91" s="0" t="n">
        <v>1</v>
      </c>
      <c r="G91" s="0" t="n">
        <v>2</v>
      </c>
      <c r="H91" s="0" t="n">
        <v>1</v>
      </c>
      <c r="I91" s="0" t="n">
        <v>3</v>
      </c>
      <c r="J91" s="0" t="n">
        <v>1</v>
      </c>
      <c r="K91" s="0" t="n">
        <v>1</v>
      </c>
      <c r="L91" s="0" t="n">
        <v>1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1</v>
      </c>
      <c r="R91" s="0" t="n">
        <v>3</v>
      </c>
      <c r="S91" s="0" t="n">
        <v>2</v>
      </c>
      <c r="T91" s="0" t="n">
        <v>2</v>
      </c>
      <c r="U91" s="0" t="n">
        <v>2</v>
      </c>
      <c r="V91" s="0" t="n">
        <v>2</v>
      </c>
      <c r="W91" s="0" t="n">
        <v>1</v>
      </c>
      <c r="X91" s="0" t="n">
        <v>2</v>
      </c>
      <c r="Y91" s="0" t="n">
        <v>2</v>
      </c>
      <c r="Z91" s="0" t="n">
        <v>1</v>
      </c>
      <c r="AA91" s="0" t="n">
        <v>2</v>
      </c>
      <c r="AB91" s="0" t="n">
        <v>2</v>
      </c>
      <c r="AC91" s="0" t="n">
        <v>2</v>
      </c>
      <c r="AD91" s="0" t="n">
        <v>1</v>
      </c>
      <c r="AE91" s="0" t="n">
        <v>1</v>
      </c>
      <c r="AF91" s="0" t="n">
        <v>1</v>
      </c>
      <c r="AG91" s="0" t="n">
        <v>1</v>
      </c>
      <c r="AI91" s="0" t="n">
        <f aca="false">5+AVERAGE(B91:AG91)-MOS!AI101</f>
        <v>1.8125</v>
      </c>
      <c r="AJ91" s="0" t="n">
        <f aca="false">AVERAGE(B91:AG91)</f>
        <v>1.5625</v>
      </c>
    </row>
    <row r="92" customFormat="false" ht="15" hidden="false" customHeight="false" outlineLevel="0" collapsed="false">
      <c r="A92" s="0" t="s">
        <v>196</v>
      </c>
      <c r="B92" s="0" t="n">
        <v>2</v>
      </c>
      <c r="C92" s="0" t="n">
        <v>2</v>
      </c>
      <c r="D92" s="0" t="n">
        <v>2</v>
      </c>
      <c r="E92" s="0" t="n">
        <v>2</v>
      </c>
      <c r="F92" s="0" t="n">
        <v>1</v>
      </c>
      <c r="G92" s="0" t="n">
        <v>2</v>
      </c>
      <c r="H92" s="0" t="n">
        <v>1</v>
      </c>
      <c r="I92" s="0" t="n">
        <v>3</v>
      </c>
      <c r="J92" s="0" t="n">
        <v>2</v>
      </c>
      <c r="K92" s="0" t="n">
        <v>1</v>
      </c>
      <c r="L92" s="0" t="n">
        <v>2</v>
      </c>
      <c r="M92" s="0" t="n">
        <v>3</v>
      </c>
      <c r="N92" s="0" t="n">
        <v>2</v>
      </c>
      <c r="O92" s="0" t="n">
        <v>2</v>
      </c>
      <c r="P92" s="0" t="n">
        <v>1</v>
      </c>
      <c r="Q92" s="0" t="n">
        <v>1</v>
      </c>
      <c r="R92" s="0" t="n">
        <v>3</v>
      </c>
      <c r="S92" s="0" t="n">
        <v>1</v>
      </c>
      <c r="T92" s="0" t="n">
        <v>2</v>
      </c>
      <c r="U92" s="0" t="n">
        <v>2</v>
      </c>
      <c r="V92" s="0" t="n">
        <v>2</v>
      </c>
      <c r="W92" s="0" t="n">
        <v>3</v>
      </c>
      <c r="X92" s="0" t="n">
        <v>1</v>
      </c>
      <c r="Y92" s="0" t="n">
        <v>1</v>
      </c>
      <c r="Z92" s="0" t="n">
        <v>2</v>
      </c>
      <c r="AA92" s="0" t="n">
        <v>2</v>
      </c>
      <c r="AB92" s="0" t="n">
        <v>3</v>
      </c>
      <c r="AC92" s="0" t="n">
        <v>2</v>
      </c>
      <c r="AD92" s="0" t="n">
        <v>1</v>
      </c>
      <c r="AE92" s="0" t="n">
        <v>3</v>
      </c>
      <c r="AF92" s="0" t="n">
        <v>1</v>
      </c>
      <c r="AG92" s="0" t="n">
        <v>2</v>
      </c>
      <c r="AI92" s="0" t="n">
        <f aca="false">5+AVERAGE(B92:AG92)-MOS!AI99</f>
        <v>2.21875</v>
      </c>
      <c r="AJ92" s="0" t="n">
        <f aca="false">AVERAGE(B92:AG92)</f>
        <v>1.875</v>
      </c>
    </row>
    <row r="93" customFormat="false" ht="15" hidden="false" customHeight="false" outlineLevel="0" collapsed="false">
      <c r="A93" s="0" t="s">
        <v>197</v>
      </c>
      <c r="B93" s="0" t="n">
        <v>3</v>
      </c>
      <c r="C93" s="0" t="n">
        <v>3</v>
      </c>
      <c r="D93" s="0" t="n">
        <v>2</v>
      </c>
      <c r="E93" s="0" t="n">
        <v>3</v>
      </c>
      <c r="F93" s="0" t="n">
        <v>2</v>
      </c>
      <c r="G93" s="0" t="n">
        <v>3</v>
      </c>
      <c r="H93" s="0" t="n">
        <v>2</v>
      </c>
      <c r="I93" s="0" t="n">
        <v>3</v>
      </c>
      <c r="J93" s="0" t="n">
        <v>2</v>
      </c>
      <c r="K93" s="0" t="n">
        <v>2</v>
      </c>
      <c r="L93" s="0" t="n">
        <v>3</v>
      </c>
      <c r="M93" s="0" t="n">
        <v>3</v>
      </c>
      <c r="N93" s="0" t="n">
        <v>3</v>
      </c>
      <c r="O93" s="0" t="n">
        <v>3</v>
      </c>
      <c r="P93" s="0" t="n">
        <v>2</v>
      </c>
      <c r="Q93" s="0" t="n">
        <v>1</v>
      </c>
      <c r="R93" s="0" t="n">
        <v>3</v>
      </c>
      <c r="S93" s="0" t="n">
        <v>1</v>
      </c>
      <c r="T93" s="0" t="n">
        <v>2</v>
      </c>
      <c r="U93" s="0" t="n">
        <v>3</v>
      </c>
      <c r="V93" s="0" t="n">
        <v>2</v>
      </c>
      <c r="W93" s="0" t="n">
        <v>2</v>
      </c>
      <c r="X93" s="0" t="n">
        <v>3</v>
      </c>
      <c r="Y93" s="0" t="n">
        <v>1</v>
      </c>
      <c r="Z93" s="0" t="n">
        <v>2</v>
      </c>
      <c r="AA93" s="0" t="n">
        <v>3</v>
      </c>
      <c r="AB93" s="0" t="n">
        <v>2</v>
      </c>
      <c r="AC93" s="0" t="n">
        <v>3</v>
      </c>
      <c r="AD93" s="0" t="n">
        <v>2</v>
      </c>
      <c r="AE93" s="0" t="n">
        <v>2</v>
      </c>
      <c r="AF93" s="0" t="n">
        <v>1</v>
      </c>
      <c r="AG93" s="0" t="n">
        <v>2</v>
      </c>
      <c r="AI93" s="0" t="n">
        <f aca="false">5+AVERAGE(B93:AG93)-MOS!AI100</f>
        <v>2.71875</v>
      </c>
      <c r="AJ93" s="0" t="n">
        <f aca="false">AVERAGE(B93:AG93)</f>
        <v>2.3125</v>
      </c>
    </row>
    <row r="94" customFormat="false" ht="15" hidden="false" customHeight="false" outlineLevel="0" collapsed="false">
      <c r="A94" s="0" t="s">
        <v>198</v>
      </c>
      <c r="B94" s="0" t="n">
        <v>2</v>
      </c>
      <c r="C94" s="0" t="n">
        <v>3</v>
      </c>
      <c r="D94" s="0" t="n">
        <v>2</v>
      </c>
      <c r="E94" s="0" t="n">
        <v>2</v>
      </c>
      <c r="F94" s="0" t="n">
        <v>4</v>
      </c>
      <c r="G94" s="0" t="n">
        <v>3</v>
      </c>
      <c r="H94" s="0" t="n">
        <v>2</v>
      </c>
      <c r="I94" s="0" t="n">
        <v>3</v>
      </c>
      <c r="J94" s="0" t="n">
        <v>3</v>
      </c>
      <c r="K94" s="0" t="n">
        <v>2</v>
      </c>
      <c r="L94" s="0" t="n">
        <v>3</v>
      </c>
      <c r="M94" s="0" t="n">
        <v>3</v>
      </c>
      <c r="N94" s="0" t="n">
        <v>3</v>
      </c>
      <c r="O94" s="0" t="n">
        <v>3</v>
      </c>
      <c r="P94" s="0" t="n">
        <v>3</v>
      </c>
      <c r="Q94" s="0" t="n">
        <v>1</v>
      </c>
      <c r="R94" s="0" t="n">
        <v>3</v>
      </c>
      <c r="S94" s="0" t="n">
        <v>3</v>
      </c>
      <c r="T94" s="0" t="n">
        <v>3</v>
      </c>
      <c r="U94" s="0" t="n">
        <v>3</v>
      </c>
      <c r="V94" s="0" t="n">
        <v>2</v>
      </c>
      <c r="W94" s="0" t="n">
        <v>1</v>
      </c>
      <c r="X94" s="0" t="n">
        <v>4</v>
      </c>
      <c r="Y94" s="0" t="n">
        <v>1</v>
      </c>
      <c r="Z94" s="0" t="n">
        <v>2</v>
      </c>
      <c r="AA94" s="0" t="n">
        <v>3</v>
      </c>
      <c r="AB94" s="0" t="n">
        <v>2</v>
      </c>
      <c r="AC94" s="0" t="n">
        <v>3</v>
      </c>
      <c r="AD94" s="0" t="n">
        <v>2</v>
      </c>
      <c r="AE94" s="0" t="n">
        <v>2</v>
      </c>
      <c r="AF94" s="0" t="n">
        <v>1</v>
      </c>
      <c r="AG94" s="0" t="n">
        <v>3</v>
      </c>
      <c r="AI94" s="0" t="n">
        <f aca="false">5+AVERAGE(B94:AG94)-MOS!AI100</f>
        <v>2.90625</v>
      </c>
      <c r="AJ94" s="0" t="n">
        <f aca="false">AVERAGE(B94:AG94)</f>
        <v>2.5</v>
      </c>
    </row>
    <row r="95" customFormat="false" ht="15" hidden="false" customHeight="false" outlineLevel="0" collapsed="false">
      <c r="A95" s="0" t="s">
        <v>199</v>
      </c>
      <c r="B95" s="0" t="n">
        <v>2</v>
      </c>
      <c r="C95" s="0" t="n">
        <v>1</v>
      </c>
      <c r="D95" s="0" t="n">
        <v>1</v>
      </c>
      <c r="E95" s="0" t="n">
        <v>3</v>
      </c>
      <c r="F95" s="0" t="n">
        <v>1</v>
      </c>
      <c r="G95" s="0" t="n">
        <v>2</v>
      </c>
      <c r="H95" s="0" t="n">
        <v>1</v>
      </c>
      <c r="I95" s="0" t="n">
        <v>3</v>
      </c>
      <c r="J95" s="0" t="n">
        <v>1</v>
      </c>
      <c r="K95" s="0" t="n">
        <v>1</v>
      </c>
      <c r="L95" s="0" t="n">
        <v>1</v>
      </c>
      <c r="M95" s="0" t="n">
        <v>2</v>
      </c>
      <c r="N95" s="0" t="n">
        <v>2</v>
      </c>
      <c r="O95" s="0" t="n">
        <v>1</v>
      </c>
      <c r="P95" s="0" t="n">
        <v>2</v>
      </c>
      <c r="Q95" s="0" t="n">
        <v>1</v>
      </c>
      <c r="R95" s="0" t="n">
        <v>3</v>
      </c>
      <c r="S95" s="0" t="n">
        <v>1</v>
      </c>
      <c r="T95" s="0" t="n">
        <v>1</v>
      </c>
      <c r="U95" s="0" t="n">
        <v>2</v>
      </c>
      <c r="V95" s="0" t="n">
        <v>2</v>
      </c>
      <c r="W95" s="0" t="n">
        <v>2</v>
      </c>
      <c r="X95" s="0" t="n">
        <v>2</v>
      </c>
      <c r="Y95" s="0" t="n">
        <v>1</v>
      </c>
      <c r="Z95" s="0" t="n">
        <v>2</v>
      </c>
      <c r="AA95" s="0" t="n">
        <v>2</v>
      </c>
      <c r="AB95" s="0" t="n">
        <v>1</v>
      </c>
      <c r="AC95" s="0" t="n">
        <v>2</v>
      </c>
      <c r="AD95" s="0" t="n">
        <v>1</v>
      </c>
      <c r="AE95" s="0" t="n">
        <v>2</v>
      </c>
      <c r="AF95" s="0" t="n">
        <v>1</v>
      </c>
      <c r="AG95" s="0" t="n">
        <v>2</v>
      </c>
      <c r="AI95" s="0" t="n">
        <f aca="false">5+AVERAGE(B95:AG95)-MOS!AI101</f>
        <v>1.875</v>
      </c>
      <c r="AJ95" s="0" t="n">
        <f aca="false">AVERAGE(B95:AG95)</f>
        <v>1.625</v>
      </c>
    </row>
    <row r="96" customFormat="false" ht="15" hidden="false" customHeight="false" outlineLevel="0" collapsed="false">
      <c r="A96" s="0" t="s">
        <v>200</v>
      </c>
      <c r="B96" s="0" t="n">
        <v>2</v>
      </c>
      <c r="C96" s="0" t="n">
        <v>2</v>
      </c>
      <c r="D96" s="0" t="n">
        <v>2</v>
      </c>
      <c r="E96" s="0" t="n">
        <v>2</v>
      </c>
      <c r="F96" s="0" t="n">
        <v>1</v>
      </c>
      <c r="G96" s="0" t="n">
        <v>3</v>
      </c>
      <c r="H96" s="0" t="n">
        <v>1</v>
      </c>
      <c r="I96" s="0" t="n">
        <v>3</v>
      </c>
      <c r="J96" s="0" t="n">
        <v>1</v>
      </c>
      <c r="K96" s="0" t="n">
        <v>1</v>
      </c>
      <c r="L96" s="0" t="n">
        <v>2</v>
      </c>
      <c r="M96" s="0" t="n">
        <v>2</v>
      </c>
      <c r="N96" s="0" t="n">
        <v>3</v>
      </c>
      <c r="O96" s="0" t="n">
        <v>2</v>
      </c>
      <c r="P96" s="0" t="n">
        <v>1</v>
      </c>
      <c r="Q96" s="0" t="n">
        <v>1</v>
      </c>
      <c r="R96" s="0" t="n">
        <v>3</v>
      </c>
      <c r="S96" s="0" t="n">
        <v>1</v>
      </c>
      <c r="T96" s="0" t="n">
        <v>1</v>
      </c>
      <c r="U96" s="0" t="n">
        <v>2</v>
      </c>
      <c r="V96" s="0" t="n">
        <v>2</v>
      </c>
      <c r="W96" s="0" t="n">
        <v>1</v>
      </c>
      <c r="X96" s="0" t="n">
        <v>2</v>
      </c>
      <c r="Y96" s="0" t="n">
        <v>1</v>
      </c>
      <c r="Z96" s="0" t="n">
        <v>2</v>
      </c>
      <c r="AA96" s="0" t="n">
        <v>2</v>
      </c>
      <c r="AB96" s="0" t="n">
        <v>1</v>
      </c>
      <c r="AC96" s="0" t="n">
        <v>2</v>
      </c>
      <c r="AD96" s="0" t="n">
        <v>2</v>
      </c>
      <c r="AE96" s="0" t="n">
        <v>2</v>
      </c>
      <c r="AF96" s="0" t="n">
        <v>1</v>
      </c>
      <c r="AG96" s="0" t="n">
        <v>2</v>
      </c>
      <c r="AI96" s="0" t="n">
        <f aca="false">5+AVERAGE(B96:AG96)-MOS!AI99</f>
        <v>2.09375</v>
      </c>
      <c r="AJ96" s="0" t="n">
        <f aca="false">AVERAGE(B96:AG96)</f>
        <v>1.75</v>
      </c>
    </row>
    <row r="97" customFormat="false" ht="15" hidden="false" customHeight="false" outlineLevel="0" collapsed="false">
      <c r="A97" s="0" t="s">
        <v>201</v>
      </c>
      <c r="B97" s="0" t="n">
        <v>2</v>
      </c>
      <c r="C97" s="0" t="n">
        <v>2</v>
      </c>
      <c r="D97" s="0" t="n">
        <v>2</v>
      </c>
      <c r="E97" s="0" t="n">
        <v>2</v>
      </c>
      <c r="F97" s="0" t="n">
        <v>2</v>
      </c>
      <c r="G97" s="0" t="n">
        <v>3</v>
      </c>
      <c r="H97" s="0" t="n">
        <v>2</v>
      </c>
      <c r="I97" s="0" t="n">
        <v>3</v>
      </c>
      <c r="J97" s="0" t="n">
        <v>2</v>
      </c>
      <c r="K97" s="0" t="n">
        <v>2</v>
      </c>
      <c r="L97" s="0" t="n">
        <v>3</v>
      </c>
      <c r="M97" s="0" t="n">
        <v>2</v>
      </c>
      <c r="N97" s="0" t="n">
        <v>3</v>
      </c>
      <c r="O97" s="0" t="n">
        <v>3</v>
      </c>
      <c r="P97" s="0" t="n">
        <v>2</v>
      </c>
      <c r="Q97" s="0" t="n">
        <v>1</v>
      </c>
      <c r="R97" s="0" t="n">
        <v>3</v>
      </c>
      <c r="S97" s="0" t="n">
        <v>2</v>
      </c>
      <c r="T97" s="0" t="n">
        <v>2</v>
      </c>
      <c r="U97" s="0" t="n">
        <v>3</v>
      </c>
      <c r="V97" s="0" t="n">
        <v>3</v>
      </c>
      <c r="W97" s="0" t="n">
        <v>3</v>
      </c>
      <c r="X97" s="0" t="n">
        <v>2</v>
      </c>
      <c r="Y97" s="0" t="n">
        <v>1</v>
      </c>
      <c r="Z97" s="0" t="n">
        <v>2</v>
      </c>
      <c r="AA97" s="0" t="n">
        <v>2</v>
      </c>
      <c r="AB97" s="0" t="n">
        <v>2</v>
      </c>
      <c r="AC97" s="0" t="n">
        <v>2</v>
      </c>
      <c r="AD97" s="0" t="n">
        <v>2</v>
      </c>
      <c r="AE97" s="0" t="n">
        <v>3</v>
      </c>
      <c r="AF97" s="0" t="n">
        <v>1</v>
      </c>
      <c r="AG97" s="0" t="n">
        <v>2</v>
      </c>
      <c r="AI97" s="0" t="n">
        <f aca="false">5+AVERAGE(B97:AG97)-MOS!AI100</f>
        <v>2.625</v>
      </c>
      <c r="AJ97" s="0" t="n">
        <f aca="false">AVERAGE(B97:AG97)</f>
        <v>2.21875</v>
      </c>
    </row>
    <row r="98" customFormat="false" ht="15" hidden="false" customHeight="false" outlineLevel="0" collapsed="false">
      <c r="A98" s="0" t="s">
        <v>202</v>
      </c>
      <c r="B98" s="0" t="n">
        <v>2</v>
      </c>
      <c r="C98" s="0" t="n">
        <v>2</v>
      </c>
      <c r="D98" s="0" t="n">
        <v>3</v>
      </c>
      <c r="E98" s="0" t="n">
        <v>2</v>
      </c>
      <c r="F98" s="0" t="n">
        <v>2</v>
      </c>
      <c r="G98" s="0" t="n">
        <v>3</v>
      </c>
      <c r="H98" s="0" t="n">
        <v>2</v>
      </c>
      <c r="I98" s="0" t="n">
        <v>3</v>
      </c>
      <c r="J98" s="0" t="n">
        <v>2</v>
      </c>
      <c r="K98" s="0" t="n">
        <v>2</v>
      </c>
      <c r="L98" s="0" t="n">
        <v>3</v>
      </c>
      <c r="M98" s="0" t="n">
        <v>3</v>
      </c>
      <c r="N98" s="0" t="n">
        <v>3</v>
      </c>
      <c r="O98" s="0" t="n">
        <v>3</v>
      </c>
      <c r="P98" s="0" t="n">
        <v>2</v>
      </c>
      <c r="Q98" s="0" t="n">
        <v>1</v>
      </c>
      <c r="R98" s="0" t="n">
        <v>3</v>
      </c>
      <c r="S98" s="0" t="n">
        <v>2</v>
      </c>
      <c r="T98" s="0" t="n">
        <v>3</v>
      </c>
      <c r="U98" s="0" t="n">
        <v>2</v>
      </c>
      <c r="V98" s="0" t="n">
        <v>3</v>
      </c>
      <c r="W98" s="0" t="n">
        <v>2</v>
      </c>
      <c r="X98" s="0" t="n">
        <v>3</v>
      </c>
      <c r="Y98" s="0" t="n">
        <v>3</v>
      </c>
      <c r="Z98" s="0" t="n">
        <v>2</v>
      </c>
      <c r="AA98" s="0" t="n">
        <v>2</v>
      </c>
      <c r="AB98" s="0" t="n">
        <v>1</v>
      </c>
      <c r="AC98" s="0" t="n">
        <v>2</v>
      </c>
      <c r="AD98" s="0" t="n">
        <v>2</v>
      </c>
      <c r="AE98" s="0" t="n">
        <v>3</v>
      </c>
      <c r="AF98" s="0" t="n">
        <v>1</v>
      </c>
      <c r="AG98" s="0" t="n">
        <v>3</v>
      </c>
      <c r="AI98" s="0" t="n">
        <f aca="false">5+AVERAGE(B98:AG98)-MOS!AI100</f>
        <v>2.75</v>
      </c>
      <c r="AJ98" s="0" t="n">
        <f aca="false">AVERAGE(B98:AG98)</f>
        <v>2.34375</v>
      </c>
    </row>
    <row r="99" customFormat="false" ht="15" hidden="false" customHeight="false" outlineLevel="0" collapsed="false">
      <c r="A99" s="0" t="s">
        <v>203</v>
      </c>
      <c r="B99" s="0" t="n">
        <v>4</v>
      </c>
      <c r="C99" s="0" t="n">
        <v>5</v>
      </c>
      <c r="D99" s="0" t="n">
        <v>4</v>
      </c>
      <c r="E99" s="0" t="n">
        <v>4</v>
      </c>
      <c r="F99" s="0" t="n">
        <v>5</v>
      </c>
      <c r="G99" s="0" t="n">
        <v>5</v>
      </c>
      <c r="H99" s="0" t="n">
        <v>4</v>
      </c>
      <c r="I99" s="0" t="n">
        <v>5</v>
      </c>
      <c r="J99" s="0" t="n">
        <v>5</v>
      </c>
      <c r="K99" s="0" t="n">
        <v>4</v>
      </c>
      <c r="L99" s="0" t="n">
        <v>4</v>
      </c>
      <c r="M99" s="0" t="n">
        <v>5</v>
      </c>
      <c r="N99" s="0" t="n">
        <v>4</v>
      </c>
      <c r="O99" s="0" t="n">
        <v>5</v>
      </c>
      <c r="P99" s="0" t="n">
        <v>5</v>
      </c>
      <c r="Q99" s="0" t="n">
        <v>5</v>
      </c>
      <c r="R99" s="0" t="n">
        <v>5</v>
      </c>
      <c r="S99" s="0" t="n">
        <v>5</v>
      </c>
      <c r="T99" s="0" t="n">
        <v>5</v>
      </c>
      <c r="U99" s="0" t="n">
        <v>5</v>
      </c>
      <c r="V99" s="0" t="n">
        <v>5</v>
      </c>
      <c r="W99" s="0" t="n">
        <v>5</v>
      </c>
      <c r="X99" s="0" t="n">
        <v>5</v>
      </c>
      <c r="Y99" s="0" t="n">
        <v>4</v>
      </c>
      <c r="Z99" s="0" t="n">
        <v>4</v>
      </c>
      <c r="AA99" s="0" t="n">
        <v>5</v>
      </c>
      <c r="AB99" s="0" t="n">
        <v>5</v>
      </c>
      <c r="AC99" s="0" t="n">
        <v>5</v>
      </c>
      <c r="AD99" s="0" t="n">
        <v>5</v>
      </c>
      <c r="AE99" s="0" t="n">
        <v>5</v>
      </c>
      <c r="AF99" s="0" t="n">
        <v>3</v>
      </c>
      <c r="AG99" s="0" t="n">
        <v>5</v>
      </c>
      <c r="AI99" s="0" t="n">
        <f aca="false">5+AVERAGE(B99:AG99)-MOS!AI99</f>
        <v>5</v>
      </c>
      <c r="AJ99" s="0" t="n">
        <f aca="false">AVERAGE(B99:AG99)</f>
        <v>4.65625</v>
      </c>
    </row>
    <row r="100" customFormat="false" ht="15" hidden="false" customHeight="false" outlineLevel="0" collapsed="false">
      <c r="A100" s="0" t="s">
        <v>204</v>
      </c>
      <c r="B100" s="0" t="n">
        <v>4</v>
      </c>
      <c r="C100" s="0" t="n">
        <v>4</v>
      </c>
      <c r="D100" s="0" t="n">
        <v>5</v>
      </c>
      <c r="E100" s="0" t="n">
        <v>5</v>
      </c>
      <c r="F100" s="0" t="n">
        <v>4</v>
      </c>
      <c r="G100" s="0" t="n">
        <v>4</v>
      </c>
      <c r="H100" s="0" t="n">
        <v>4</v>
      </c>
      <c r="I100" s="0" t="n">
        <v>5</v>
      </c>
      <c r="J100" s="0" t="n">
        <v>4</v>
      </c>
      <c r="K100" s="0" t="n">
        <v>4</v>
      </c>
      <c r="L100" s="0" t="n">
        <v>4</v>
      </c>
      <c r="M100" s="0" t="n">
        <v>4</v>
      </c>
      <c r="N100" s="0" t="n">
        <v>5</v>
      </c>
      <c r="O100" s="0" t="n">
        <v>5</v>
      </c>
      <c r="P100" s="0" t="n">
        <v>5</v>
      </c>
      <c r="Q100" s="0" t="n">
        <v>5</v>
      </c>
      <c r="R100" s="0" t="n">
        <v>5</v>
      </c>
      <c r="S100" s="0" t="n">
        <v>5</v>
      </c>
      <c r="T100" s="0" t="n">
        <v>5</v>
      </c>
      <c r="U100" s="0" t="n">
        <v>5</v>
      </c>
      <c r="V100" s="0" t="n">
        <v>5</v>
      </c>
      <c r="W100" s="0" t="n">
        <v>5</v>
      </c>
      <c r="X100" s="0" t="n">
        <v>5</v>
      </c>
      <c r="Y100" s="0" t="n">
        <v>5</v>
      </c>
      <c r="Z100" s="0" t="n">
        <v>5</v>
      </c>
      <c r="AA100" s="0" t="n">
        <v>5</v>
      </c>
      <c r="AB100" s="0" t="n">
        <v>4</v>
      </c>
      <c r="AC100" s="0" t="n">
        <v>5</v>
      </c>
      <c r="AD100" s="0" t="n">
        <v>4</v>
      </c>
      <c r="AE100" s="0" t="n">
        <v>5</v>
      </c>
      <c r="AF100" s="0" t="n">
        <v>3</v>
      </c>
      <c r="AG100" s="0" t="n">
        <v>5</v>
      </c>
      <c r="AI100" s="0" t="n">
        <f aca="false">5+AVERAGE(B100:AG100)-MOS!AI100</f>
        <v>5</v>
      </c>
      <c r="AJ100" s="0" t="n">
        <f aca="false">AVERAGE(B100:AG100)</f>
        <v>4.59375</v>
      </c>
    </row>
    <row r="101" customFormat="false" ht="15" hidden="false" customHeight="false" outlineLevel="0" collapsed="false">
      <c r="A101" s="0" t="s">
        <v>205</v>
      </c>
      <c r="B101" s="0" t="n">
        <v>4</v>
      </c>
      <c r="C101" s="0" t="n">
        <v>5</v>
      </c>
      <c r="D101" s="0" t="n">
        <v>4</v>
      </c>
      <c r="E101" s="0" t="n">
        <v>4</v>
      </c>
      <c r="F101" s="0" t="n">
        <v>5</v>
      </c>
      <c r="G101" s="0" t="n">
        <v>5</v>
      </c>
      <c r="H101" s="0" t="n">
        <v>4</v>
      </c>
      <c r="I101" s="0" t="n">
        <v>4</v>
      </c>
      <c r="J101" s="0" t="n">
        <v>5</v>
      </c>
      <c r="K101" s="0" t="n">
        <v>4</v>
      </c>
      <c r="L101" s="0" t="n">
        <v>4</v>
      </c>
      <c r="M101" s="0" t="n">
        <v>5</v>
      </c>
      <c r="N101" s="0" t="n">
        <v>5</v>
      </c>
      <c r="O101" s="0" t="n">
        <v>5</v>
      </c>
      <c r="P101" s="0" t="n">
        <v>5</v>
      </c>
      <c r="Q101" s="0" t="n">
        <v>5</v>
      </c>
      <c r="R101" s="0" t="n">
        <v>5</v>
      </c>
      <c r="S101" s="0" t="n">
        <v>5</v>
      </c>
      <c r="T101" s="0" t="n">
        <v>5</v>
      </c>
      <c r="U101" s="0" t="n">
        <v>5</v>
      </c>
      <c r="V101" s="0" t="n">
        <v>5</v>
      </c>
      <c r="W101" s="0" t="n">
        <v>5</v>
      </c>
      <c r="X101" s="0" t="n">
        <v>5</v>
      </c>
      <c r="Y101" s="0" t="n">
        <v>5</v>
      </c>
      <c r="Z101" s="0" t="n">
        <v>5</v>
      </c>
      <c r="AA101" s="0" t="n">
        <v>5</v>
      </c>
      <c r="AB101" s="0" t="n">
        <v>5</v>
      </c>
      <c r="AC101" s="0" t="n">
        <v>5</v>
      </c>
      <c r="AD101" s="0" t="n">
        <v>5</v>
      </c>
      <c r="AE101" s="0" t="n">
        <v>5</v>
      </c>
      <c r="AF101" s="0" t="n">
        <v>4</v>
      </c>
      <c r="AG101" s="0" t="n">
        <v>5</v>
      </c>
      <c r="AI101" s="0" t="n">
        <f aca="false">5+AVERAGE(B101:AG101)-MOS!AI101</f>
        <v>5</v>
      </c>
      <c r="AJ101" s="0" t="n">
        <f aca="false">AVERAGE(B101:AG101)</f>
        <v>4.75</v>
      </c>
    </row>
    <row r="102" customFormat="false" ht="15" hidden="false" customHeight="false" outlineLevel="0" collapsed="false">
      <c r="A102" s="0" t="s">
        <v>206</v>
      </c>
      <c r="B102" s="0" t="n">
        <v>3</v>
      </c>
      <c r="C102" s="0" t="n">
        <v>5</v>
      </c>
      <c r="D102" s="0" t="n">
        <v>5</v>
      </c>
      <c r="E102" s="0" t="n">
        <v>4</v>
      </c>
      <c r="F102" s="0" t="n">
        <v>4</v>
      </c>
      <c r="G102" s="0" t="n">
        <v>5</v>
      </c>
      <c r="H102" s="0" t="n">
        <v>3</v>
      </c>
      <c r="I102" s="0" t="n">
        <v>5</v>
      </c>
      <c r="J102" s="0" t="n">
        <v>5</v>
      </c>
      <c r="K102" s="0" t="n">
        <v>3</v>
      </c>
      <c r="L102" s="0" t="n">
        <v>4</v>
      </c>
      <c r="M102" s="0" t="n">
        <v>4</v>
      </c>
      <c r="N102" s="0" t="n">
        <v>4</v>
      </c>
      <c r="O102" s="0" t="n">
        <v>3</v>
      </c>
      <c r="P102" s="0" t="n">
        <v>5</v>
      </c>
      <c r="Q102" s="0" t="n">
        <v>5</v>
      </c>
      <c r="R102" s="0" t="n">
        <v>5</v>
      </c>
      <c r="S102" s="0" t="n">
        <v>5</v>
      </c>
      <c r="T102" s="0" t="n">
        <v>5</v>
      </c>
      <c r="U102" s="0" t="n">
        <v>4</v>
      </c>
      <c r="V102" s="0" t="n">
        <v>5</v>
      </c>
      <c r="W102" s="0" t="n">
        <v>5</v>
      </c>
      <c r="X102" s="0" t="n">
        <v>4</v>
      </c>
      <c r="Y102" s="0" t="n">
        <v>4</v>
      </c>
      <c r="Z102" s="0" t="n">
        <v>5</v>
      </c>
      <c r="AA102" s="0" t="n">
        <v>5</v>
      </c>
      <c r="AB102" s="0" t="n">
        <v>3</v>
      </c>
      <c r="AC102" s="0" t="n">
        <v>5</v>
      </c>
      <c r="AD102" s="0" t="n">
        <v>5</v>
      </c>
      <c r="AE102" s="0" t="n">
        <v>5</v>
      </c>
      <c r="AF102" s="0" t="n">
        <v>3</v>
      </c>
      <c r="AG102" s="0" t="n">
        <v>4</v>
      </c>
      <c r="AI102" s="0" t="n">
        <f aca="false">5+AVERAGE(B102:AG102)-MOS!AI99</f>
        <v>4.6875</v>
      </c>
      <c r="AJ102" s="0" t="n">
        <f aca="false">AVERAGE(B102:AG102)</f>
        <v>4.34375</v>
      </c>
    </row>
    <row r="103" customFormat="false" ht="15" hidden="false" customHeight="false" outlineLevel="0" collapsed="false">
      <c r="A103" s="0" t="s">
        <v>207</v>
      </c>
      <c r="B103" s="0" t="n">
        <v>3</v>
      </c>
      <c r="C103" s="0" t="n">
        <v>3</v>
      </c>
      <c r="D103" s="0" t="n">
        <v>3</v>
      </c>
      <c r="E103" s="0" t="n">
        <v>3</v>
      </c>
      <c r="F103" s="0" t="n">
        <v>3</v>
      </c>
      <c r="G103" s="0" t="n">
        <v>3</v>
      </c>
      <c r="H103" s="0" t="n">
        <v>3</v>
      </c>
      <c r="I103" s="0" t="n">
        <v>3</v>
      </c>
      <c r="J103" s="0" t="n">
        <v>3</v>
      </c>
      <c r="K103" s="0" t="n">
        <v>2</v>
      </c>
      <c r="L103" s="0" t="n">
        <v>3</v>
      </c>
      <c r="M103" s="0" t="n">
        <v>3</v>
      </c>
      <c r="N103" s="0" t="n">
        <v>3</v>
      </c>
      <c r="O103" s="0" t="n">
        <v>4</v>
      </c>
      <c r="P103" s="0" t="n">
        <v>4</v>
      </c>
      <c r="Q103" s="0" t="n">
        <v>4</v>
      </c>
      <c r="R103" s="0" t="n">
        <v>4</v>
      </c>
      <c r="S103" s="0" t="n">
        <v>2</v>
      </c>
      <c r="T103" s="0" t="n">
        <v>2</v>
      </c>
      <c r="U103" s="0" t="n">
        <v>3</v>
      </c>
      <c r="V103" s="0" t="n">
        <v>3</v>
      </c>
      <c r="W103" s="0" t="n">
        <v>3</v>
      </c>
      <c r="X103" s="0" t="n">
        <v>4</v>
      </c>
      <c r="Y103" s="0" t="n">
        <v>4</v>
      </c>
      <c r="Z103" s="0" t="n">
        <v>3</v>
      </c>
      <c r="AA103" s="0" t="n">
        <v>3</v>
      </c>
      <c r="AB103" s="0" t="n">
        <v>3</v>
      </c>
      <c r="AC103" s="0" t="n">
        <v>3</v>
      </c>
      <c r="AD103" s="0" t="n">
        <v>4</v>
      </c>
      <c r="AE103" s="0" t="n">
        <v>3</v>
      </c>
      <c r="AF103" s="0" t="n">
        <v>1</v>
      </c>
      <c r="AG103" s="0" t="n">
        <v>4</v>
      </c>
      <c r="AI103" s="0" t="n">
        <f aca="false">5+AVERAGE(B103:AG103)-MOS!AI99</f>
        <v>3.4375</v>
      </c>
      <c r="AJ103" s="0" t="n">
        <f aca="false">AVERAGE(B103:AG103)</f>
        <v>3.09375</v>
      </c>
    </row>
    <row r="104" customFormat="false" ht="15" hidden="false" customHeight="false" outlineLevel="0" collapsed="false">
      <c r="A104" s="0" t="s">
        <v>208</v>
      </c>
      <c r="B104" s="0" t="n">
        <v>1</v>
      </c>
      <c r="C104" s="0" t="n">
        <v>1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2</v>
      </c>
      <c r="P104" s="0" t="n">
        <v>1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1</v>
      </c>
      <c r="V104" s="0" t="n">
        <v>2</v>
      </c>
      <c r="W104" s="0" t="n">
        <v>2</v>
      </c>
      <c r="X104" s="0" t="n">
        <v>2</v>
      </c>
      <c r="Y104" s="0" t="n">
        <v>2</v>
      </c>
      <c r="Z104" s="0" t="n">
        <v>1</v>
      </c>
      <c r="AA104" s="0" t="n">
        <v>1</v>
      </c>
      <c r="AB104" s="0" t="n">
        <v>2</v>
      </c>
      <c r="AC104" s="0" t="n">
        <v>1</v>
      </c>
      <c r="AD104" s="0" t="n">
        <v>1</v>
      </c>
      <c r="AE104" s="0" t="n">
        <v>1</v>
      </c>
      <c r="AF104" s="0" t="n">
        <v>1</v>
      </c>
      <c r="AG104" s="0" t="n">
        <v>1</v>
      </c>
      <c r="AI104" s="0" t="n">
        <f aca="false">5+AVERAGE(B104:AG104)-MOS!AI99</f>
        <v>1.5625</v>
      </c>
      <c r="AJ104" s="0" t="n">
        <f aca="false">AVERAGE(B104:AG104)</f>
        <v>1.21875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2012-03-13T11:16:04Z</dcterms:created>
  <dc:creator>pepion-r</dc:creator>
  <dc:description/>
  <dc:language>en-US</dc:language>
  <cp:lastModifiedBy>pepion-r</cp:lastModifiedBy>
  <dcterms:modified xsi:type="dcterms:W3CDTF">2012-11-13T11:12:56Z</dcterms:modified>
  <cp:revision>0</cp:revision>
  <dc:subject/>
  <dc:title/>
</cp:coreProperties>
</file>